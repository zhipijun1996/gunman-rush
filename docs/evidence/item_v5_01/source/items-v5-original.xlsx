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7069d9da6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策划总览" sheetId="1" r:id="R3707ec20df4f45f4"/>
    <x:sheet xmlns:r="http://schemas.openxmlformats.org/officeDocument/2006/relationships" name="01 有效道具" sheetId="2" r:id="R93e4a15bb7ce4bfe"/>
    <x:sheet xmlns:r="http://schemas.openxmlformats.org/officeDocument/2006/relationships" name="02 评审全记录" sheetId="3" r:id="R41a264f99b96492f"/>
    <x:sheet xmlns:r="http://schemas.openxmlformats.org/officeDocument/2006/relationships" name="03 数值参数" sheetId="4" r:id="Rfa5cb95b3f984b47"/>
    <x:sheet xmlns:r="http://schemas.openxmlformats.org/officeDocument/2006/relationships" name="04 三级成长" sheetId="5" r:id="R68187a982fc94d6a"/>
    <x:sheet xmlns:r="http://schemas.openxmlformats.org/officeDocument/2006/relationships" name="05 联动审计" sheetId="6" r:id="Rb04839374c124239"/>
    <x:sheet xmlns:r="http://schemas.openxmlformats.org/officeDocument/2006/relationships" name="06 经济模型" sheetId="7" r:id="Rfe54293724b943f2"/>
    <x:sheet xmlns:r="http://schemas.openxmlformats.org/officeDocument/2006/relationships" name="07 实装数值" sheetId="8" r:id="Rb75f64798e024aaf"/>
    <x:sheet xmlns:r="http://schemas.openxmlformats.org/officeDocument/2006/relationships" name="08 优先级与风险" sheetId="9" r:id="R2c863b31db314680"/>
    <x:sheet xmlns:r="http://schemas.openxmlformats.org/officeDocument/2006/relationships" name="09 编辑说明" sheetId="10" r:id="R1f53a13fa72b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355773"/>
      <x:name val="Carlito"/>
    </x:font>
    <x:font>
      <x:sz val="10"/>
      <x:color rgb="FF80561E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sz val="11"/>
      <x:color rgb="FF355773"/>
      <x:name val="Carlito"/>
    </x:font>
    <x:font>
      <x:b/>
      <x:sz val="11"/>
      <x:color rgb="FFFFFFFF"/>
      <x:name val="Carlito"/>
    </x:font>
    <x:font>
      <x:b/>
      <x:sz val="22"/>
      <x:color rgb="FF17324A"/>
      <x:name val="Carlito"/>
    </x:font>
    <x:font>
      <x:b/>
      <x:sz val="11"/>
      <x:color rgb="FF1732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EAF1F6"/>
      </x:patternFill>
    </x:fill>
    <x:fill>
      <x:patternFill patternType="solid">
        <x:fgColor rgb="FFFFF3D7"/>
      </x:patternFill>
    </x:fill>
    <x:fill>
      <x:patternFill patternType="solid">
        <x:fgColor rgb="FF245375"/>
      </x:patternFill>
    </x:fill>
    <x:fill>
      <x:patternFill patternType="solid">
        <x:fgColor rgb="FFEDF3F8"/>
      </x:patternFill>
    </x:fill>
    <x:fill>
      <x:patternFill patternType="solid">
        <x:fgColor rgb="FFDDE9F3"/>
      </x:patternFill>
    </x:fill>
    <x:fill>
      <x:patternFill patternType="solid">
        <x:fgColor rgb="FFFFF5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A33D21"/>
      </x:font>
      <x:fill>
        <x:patternFill patternType="solid">
          <x:bgColor rgb="FFFDE7DD"/>
        </x:patternFill>
      </x:fill>
    </x:dxf>
    <x:dxf>
      <x:font>
        <x:color rgb="FF15803D"/>
      </x:font>
    </x:dxf>
    <x:dxf>
      <x:font>
        <x:color rgb="FFB45309"/>
      </x:font>
    </x:dxf>
    <x:dxf>
      <x:font>
        <x:color rgb="FFB42318"/>
      </x:font>
      <x:fill>
        <x:patternFill patternType="solid">
          <x:bgColor rgb="FFFCE8E8"/>
        </x:patternFill>
      </x:fill>
    </x:dxf>
    <x:dxf>
      <x:font>
        <x:color rgb="FFB42318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f697480a14e6f" /><Relationship Type="http://schemas.openxmlformats.org/officeDocument/2006/relationships/theme" Target="/xl/theme/theme1.xml" Id="Rd9e1735614b64e37" /><Relationship Type="http://schemas.openxmlformats.org/officeDocument/2006/relationships/sharedStrings" Target="/xl/sharedStrings.xml" Id="R230b27ae94bc4f5e" /><Relationship Type="http://schemas.openxmlformats.org/officeDocument/2006/relationships/worksheet" Target="/xl/worksheets/sheet1.xml" Id="R3707ec20df4f45f4" /><Relationship Type="http://schemas.openxmlformats.org/officeDocument/2006/relationships/worksheet" Target="/xl/worksheets/sheet2.xml" Id="R93e4a15bb7ce4bfe" /><Relationship Type="http://schemas.openxmlformats.org/officeDocument/2006/relationships/worksheet" Target="/xl/worksheets/sheet3.xml" Id="R41a264f99b96492f" /><Relationship Type="http://schemas.openxmlformats.org/officeDocument/2006/relationships/worksheet" Target="/xl/worksheets/sheet4.xml" Id="Rfa5cb95b3f984b47" /><Relationship Type="http://schemas.openxmlformats.org/officeDocument/2006/relationships/worksheet" Target="/xl/worksheets/sheet5.xml" Id="R68187a982fc94d6a" /><Relationship Type="http://schemas.openxmlformats.org/officeDocument/2006/relationships/worksheet" Target="/xl/worksheets/sheet6.xml" Id="Rb04839374c124239" /><Relationship Type="http://schemas.openxmlformats.org/officeDocument/2006/relationships/worksheet" Target="/xl/worksheets/sheet7.xml" Id="Rfe54293724b943f2" /><Relationship Type="http://schemas.openxmlformats.org/officeDocument/2006/relationships/worksheet" Target="/xl/worksheets/sheet8.xml" Id="Rb75f64798e024aaf" /><Relationship Type="http://schemas.openxmlformats.org/officeDocument/2006/relationships/worksheet" Target="/xl/worksheets/sheet9.xml" Id="R2c863b31db314680" /><Relationship Type="http://schemas.openxmlformats.org/officeDocument/2006/relationships/worksheet" Target="/xl/worksheets/sheet10.xml" Id="R1f53a13fa72b4765" /></Relationships>
</file>

<file path=xl/tables/table1.xml><?xml version="1.0" encoding="utf-8"?>
<x:table xmlns:x="http://schemas.openxmlformats.org/spreadsheetml/2006/main" id="1" name="ActiveItemsV5" displayName="ActiveItemsV5" ref="A5:AB77" headerRowCount="1" totalsRowCount="0" totalsRowShown="0">
  <x:tableColumns count="28">
    <x:tableColumn id="1" name="评审编号"/>
    <x:tableColumn id="2" name="稳定ID"/>
    <x:tableColumn id="3" name="正式名称"/>
    <x:tableColumn id="4" name="稀有度"/>
    <x:tableColumn id="5" name="用途分类"/>
    <x:tableColumn id="6" name="齿轮负荷_V4"/>
    <x:tableColumn id="7" name="建议负荷_可编辑"/>
    <x:tableColumn id="8" name="V4价格(金)"/>
    <x:tableColumn id="9" name="建议价格_可编辑"/>
    <x:tableColumn id="10" name="可升级"/>
    <x:tableColumn id="11" name="最高等级"/>
    <x:tableColumn id="12" name="最终机制与效果"/>
    <x:tableColumn id="13" name="触发条件"/>
    <x:tableColumn id="14" name="机制限制/防刷"/>
    <x:tableColumn id="15" name="前置能力"/>
    <x:tableColumn id="16" name="优先级"/>
    <x:tableColumn id="17" name="单件性价比分析"/>
    <x:tableColumn id="18" name="高风险点"/>
    <x:tableColumn id="19" name="机制决定状态"/>
    <x:tableColumn id="20" name="世界观简介"/>
    <x:tableColumn id="21" name="参数JSON_建议快照"/>
    <x:tableColumn id="22" name="原始项目参数/代码来源"/>
    <x:tableColumn id="23" name="改负荷"/>
    <x:tableColumn id="24" name="改价格"/>
    <x:tableColumn id="25" name="建议每槽金币"/>
    <x:tableColumn id="26" name="数值分析标签"/>
    <x:tableColumn id="27" name="用户评审结论"/>
    <x:tableColumn id="28" name="游戏实装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LedgerV5" displayName="ReviewLedgerV5" ref="A5:Q98" headerRowCount="1" totalsRowCount="0" totalsRowShown="0">
  <x:tableColumns count="17">
    <x:tableColumn id="1" name="评审序号"/>
    <x:tableColumn id="2" name="道具ID"/>
    <x:tableColumn id="3" name="当前正式名称"/>
    <x:tableColumn id="4" name="稀有度"/>
    <x:tableColumn id="5" name="第几批"/>
    <x:tableColumn id="6" name="用户最终意见"/>
    <x:tableColumn id="7" name="V4负荷"/>
    <x:tableColumn id="8" name="V5负荷建议"/>
    <x:tableColumn id="9" name="V4金币价"/>
    <x:tableColumn id="10" name="V5金币价建议"/>
    <x:tableColumn id="11" name="升级上限"/>
    <x:tableColumn id="12" name="是否进入正式池"/>
    <x:tableColumn id="13" name="修改说明"/>
    <x:tableColumn id="14" name="当前效果/删除处理"/>
    <x:tableColumn id="15" name="平衡说明"/>
    <x:tableColumn id="16" name="状态"/>
    <x:tableColumn id="17" name="原始V4数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ParamsV5" displayName="ItemParamsV5" ref="A5:N217" headerRowCount="1" totalsRowCount="0" totalsRowShown="0">
  <x:tableColumns count="14">
    <x:tableColumn id="1" name="道具ID"/>
    <x:tableColumn id="2" name="道具名称"/>
    <x:tableColumn id="3" name="稀有度"/>
    <x:tableColumn id="4" name="评审序号"/>
    <x:tableColumn id="5" name="参数键"/>
    <x:tableColumn id="6" name="适用Lv"/>
    <x:tableColumn id="7" name="V4原参数值"/>
    <x:tableColumn id="8" name="V5建议值(编辑)"/>
    <x:tableColumn id="9" name="单位/类型"/>
    <x:tableColumn id="10" name="评审机制确认"/>
    <x:tableColumn id="11" name="变动说明"/>
    <x:tableColumn id="12" name="平衡依据"/>
    <x:tableColumn id="13" name="实现状态"/>
    <x:tableColumn id="14" name="代码/配置参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velsV5" displayName="LevelsV5" ref="A5:M23" headerRowCount="1" totalsRowCount="0" totalsRowShown="0">
  <x:tableColumns count="13">
    <x:tableColumn id="1" name="道具ID"/>
    <x:tableColumn id="2" name="名称"/>
    <x:tableColumn id="3" name="稀有度"/>
    <x:tableColumn id="4" name="固定齿轮槽"/>
    <x:tableColumn id="5" name="单次购买价(建议)"/>
    <x:tableColumn id="6" name="等级参数键"/>
    <x:tableColumn id="7" name="Lv1"/>
    <x:tableColumn id="8" name="Lv2"/>
    <x:tableColumn id="9" name="Lv3"/>
    <x:tableColumn id="10" name="具体单位/说明"/>
    <x:tableColumn id="11" name="重复获得"/>
    <x:tableColumn id="12" name="满级处理"/>
    <x:tableColumn id="13" name="设计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boAuditV5" displayName="ComboAuditV5" ref="A5:I21" headerRowCount="1" totalsRowCount="0" totalsRowShown="0">
  <x:tableColumns count="9">
    <x:tableColumn id="1" name="联动编号"/>
    <x:tableColumn id="2" name="道具ID组合"/>
    <x:tableColumn id="3" name="V5道具组合"/>
    <x:tableColumn id="4" name="关联状态"/>
    <x:tableColumn id="5" name="机制建议/原配方迁移"/>
    <x:tableColumn id="6" name="安全约束"/>
    <x:tableColumn id="7" name="实现优先级"/>
    <x:tableColumn id="8" name="评审理由"/>
    <x:tableColumn id="9" name="来源(旧图鉴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conomyModelV5" displayName="EconomyModelV5" ref="A5:F34" headerRowCount="1" totalsRowCount="0" totalsRowShown="0">
  <x:tableColumns count="6">
    <x:tableColumn id="1" name="项目"/>
    <x:tableColumn id="2" name="数值（可编辑/公式）"/>
    <x:tableColumn id="3" name="单位"/>
    <x:tableColumn id="4" name="性质"/>
    <x:tableColumn id="5" name="测算解释"/>
    <x:tableColumn id="6" name="来源/校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timeBaselineV5" displayName="RuntimeBaselineV5" ref="A5:G28" headerRowCount="1" totalsRowCount="0" totalsRowShown="0">
  <x:tableColumns count="7">
    <x:tableColumn id="1" name="参数域"/>
    <x:tableColumn id="2" name="参数名称"/>
    <x:tableColumn id="3" name="正式数值"/>
    <x:tableColumn id="4" name="单位"/>
    <x:tableColumn id="5" name="2026-10-24代码位置"/>
    <x:tableColumn id="6" name="状态"/>
    <x:tableColumn id="7" name="设计使用方式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admapV5" displayName="RoadmapV5" ref="A5:H16" headerRowCount="1" totalsRowCount="0" totalsRowShown="0">
  <x:tableColumns count="8">
    <x:tableColumn id="1" name="工作包"/>
    <x:tableColumn id="2" name="阶段"/>
    <x:tableColumn id="3" name="涉及系统/道具"/>
    <x:tableColumn id="4" name="主要交付"/>
    <x:tableColumn id="5" name="门槛/依赖"/>
    <x:tableColumn id="6" name="失败模式与关键测试"/>
    <x:tableColumn id="7" name="范围边界"/>
    <x:tableColumn id="8" name="当前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ditingGuideV5" displayName="EditingGuideV5" ref="A5:F20" headerRowCount="1" totalsRowCount="0" totalsRowShown="0">
  <x:tableColumns count="6">
    <x:tableColumn id="1" name="主题"/>
    <x:tableColumn id="2" name="当前规范"/>
    <x:tableColumn id="3" name="编辑位置"/>
    <x:tableColumn id="4" name="不能混淆的概念"/>
    <x:tableColumn id="5" name="验收责任"/>
    <x:tableColumn id="6" name="来源/标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1cc8ebcea94d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8e42595749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55b1279c6242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e3bbcbabcc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a03a90b45a4d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d432f6cb734b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fffa26511444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f4d0cdb56d49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b6ea6abbaa946fd" /></Relationships>
</file>

<file path=xl/worksheets/sheet1.xml><?xml version="1.0" encoding="utf-8"?>
<x:worksheet xmlns:x="http://schemas.openxmlformats.org/spreadsheetml/2006/main">
  <x:sheetFormatPr defaultRowHeight="15"/>
  <x:cols>
    <x:col min="3" max="3" width="100" hidden="0" customWidth="1"/>
    <x:col min="1" max="1" width="12" hidden="0" customWidth="1"/>
    <x:col min="2" max="2" width="21" hidden="0" customWidth="1"/>
  </x:cols>
  <x:sheetData>
    <x:row r="1" ht="40" customHeight="1">
      <x:c r="A1" s="28" t="str">
        <x:v>失序之钟 / 局内肉鸽道具 · V5平衡控制台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 ht="26" customHeight="1">
      <x:c r="A2" s="30" t="str">
        <x:v>九批逐件审核已完成 · 版本2026-10-28 · 价格/伤害属于建议值，不能当作已经实装或已通过真实平衡测试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</x:row>
    <x:row r="4" ht="25" customHeight="1">
      <x:c r="A4" s="32" t="str">
        <x:v>原图鉴审核</x:v>
      </x:c>
      <x:c r="B4" s="32"/>
      <x:c r="C4" s="32"/>
      <x:c r="D4" s="32" t="str">
        <x:v>有效道具（含新增）</x:v>
      </x:c>
      <x:c r="E4" s="32"/>
      <x:c r="F4" s="32"/>
      <x:c r="G4" s="32" t="str">
        <x:v>用户删除</x:v>
      </x:c>
      <x:c r="H4" s="32"/>
      <x:c r="I4" s="32"/>
      <x:c r="J4" s="32" t="str">
        <x:v>新增候选</x:v>
      </x:c>
      <x:c r="K4" s="32"/>
      <x:c r="L4" s="32"/>
      <x:c r="M4" s="32"/>
    </x:row>
    <x:row r="5" ht="25" customHeight="1">
      <x:c r="A5" s="35" t="n">
        <x:f>COUNTA('02 评审全记录'!B6:B96)</x:f>
        <x:v>91</x:v>
      </x:c>
      <x:c r="B5" s="35"/>
      <x:c r="C5" s="35"/>
      <x:c r="D5" s="35" t="n">
        <x:f>COUNTA('01 有效道具'!B6:B77)</x:f>
        <x:v>72</x:v>
      </x:c>
      <x:c r="E5" s="35"/>
      <x:c r="F5" s="35"/>
      <x:c r="G5" s="35" t="n">
        <x:f>COUNTIF('02 评审全记录'!L6:L98,"否")</x:f>
        <x:v>21</x:v>
      </x:c>
      <x:c r="H5" s="35"/>
      <x:c r="I5" s="35"/>
      <x:c r="J5" s="35" t="n">
        <x:f>COUNTIF('02 评审全记录'!F6:F98,"新增候选")</x:f>
        <x:v>2</x:v>
      </x:c>
      <x:c r="K5" s="35"/>
      <x:c r="L5" s="35"/>
      <x:c r="M5" s="35"/>
    </x:row>
    <x:row r="6" ht="25" customHeight="1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9">
      <x:c r="A9" s="32" t="str">
        <x:v>稀有度</x:v>
      </x:c>
      <x:c r="B9" s="32" t="str">
        <x:v>蓝色</x:v>
      </x:c>
      <x:c r="C9" s="32" t="str">
        <x:v>紫色</x:v>
      </x:c>
      <x:c r="D9" s="32" t="str">
        <x:v>金色</x:v>
      </x:c>
      <x:c r="E9" s="32" t="str">
        <x:v>总数</x:v>
      </x:c>
      <x:c r="F9" s="32" t="str">
        <x:v>可升Lv3</x:v>
      </x:c>
    </x:row>
    <x:row r="10">
      <x:c r="A10" t="str">
        <x:v>有效道具数</x:v>
      </x:c>
      <x:c r="B10" t="n">
        <x:f>COUNTIF('01 有效道具'!D6:D77,"蓝色")</x:f>
        <x:v>29</x:v>
      </x:c>
      <x:c r="C10" t="n">
        <x:f>COUNTIF('01 有效道具'!D6:D77,"紫色")</x:f>
        <x:v>28</x:v>
      </x:c>
      <x:c r="D10" t="n">
        <x:f>COUNTIF('01 有效道具'!D6:D77,"金色")</x:f>
        <x:v>15</x:v>
      </x:c>
      <x:c r="E10" t="n">
        <x:f>SUM(B10:D10)</x:f>
        <x:v>72</x:v>
      </x:c>
      <x:c r="F10" t="n">
        <x:f>COUNTIF('01 有效道具'!K6:K77,3)</x:f>
        <x:v>16</x:v>
      </x:c>
    </x:row>
    <x:row r="12">
      <x:c r="A12" s="32" t="str">
        <x:v>负荷对比</x:v>
      </x:c>
      <x:c r="B12" s="32" t="str">
        <x:v>原负荷变化</x:v>
      </x:c>
      <x:c r="C12" s="32" t="str">
        <x:v>降价道具数</x:v>
      </x:c>
      <x:c r="D12" s="32" t="str">
        <x:v>加价道具数</x:v>
      </x:c>
      <x:c r="E12" s="32" t="str">
        <x:v>高风险数</x:v>
      </x:c>
      <x:c r="F12" s="32" t="str">
        <x:v>有效联动</x:v>
      </x:c>
    </x:row>
    <x:row r="13">
      <x:c r="A13" t="str">
        <x:v>复核指标</x:v>
      </x:c>
      <x:c r="B13" t="n">
        <x:f>COUNTIF('01 有效道具'!W6:W77,"&lt;&gt;0")</x:f>
        <x:v>7</x:v>
      </x:c>
      <x:c r="C13" t="n">
        <x:f>COUNTIF('01 有效道具'!X6:X77,"&lt;0")</x:f>
        <x:v>63</x:v>
      </x:c>
      <x:c r="D13" t="n">
        <x:f>COUNTIF('01 有效道具'!X6:X77,"&gt;0")</x:f>
        <x:v>2</x:v>
      </x:c>
      <x:c r="E13" t="n">
        <x:f>COUNTIF('01 有效道具'!R6:R77,"高")</x:f>
        <x:v>10</x:v>
      </x:c>
      <x:c r="F13" t="n">
        <x:f>COUNTIF('05 联动审计'!D6:D21,"有效但效果需实测")</x:f>
        <x:v>9</x:v>
      </x:c>
    </x:row>
    <x:row r="16">
      <x:c r="A16" s="39" t="str">
        <x:v>本次平衡重点</x:v>
      </x:c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</x:row>
    <x:row r="17" ht="46" customHeight="1">
      <x:c r="A17" s="24" t="str">
        <x:v>1</x:v>
      </x:c>
      <x:c r="B17" s="24" t="str">
        <x:v>主枪伤害</x:v>
      </x:c>
      <x:c r="C17" s="24" t="str">
        <x:v>81裂纹强击栓原+22%/2次破损 → 建议+50%/3次破损；用户只确定加强与3次破损，具体+50%仍为建议。</x:v>
      </x:c>
    </x:row>
    <x:row r="18" ht="46" customHeight="1">
      <x:c r="A18" s="24" t="str">
        <x:v>2</x:v>
      </x:c>
      <x:c r="B18" s="24" t="str">
        <x:v>雷樽技能</x:v>
      </x:c>
      <x:c r="C18" s="24" t="str">
        <x:v>86号取消双态；推荐唯一投掷电弧雷樽，消耗45共鸣、主伤1.3D并有电链，避免与85号地雷完全重复。</x:v>
      </x:c>
    </x:row>
    <x:row r="19" ht="46" customHeight="1">
      <x:c r="A19" s="24" t="str">
        <x:v>3</x:v>
      </x:c>
      <x:c r="B19" s="24" t="str">
        <x:v>地图经济</x:v>
      </x:c>
      <x:c r="C19" s="24" t="str">
        <x:v>2图普通金币预算各24、敌人掉落最多12/图；多档商店仍是方案，当前实际商店基础售价5为fixture。</x:v>
      </x:c>
    </x:row>
    <x:row r="20" ht="46" customHeight="1">
      <x:c r="A20" s="24" t="str">
        <x:v>4</x:v>
      </x:c>
      <x:c r="B20" s="24" t="str">
        <x:v>金币道具</x:v>
      </x:c>
      <x:c r="C20" s="24" t="str">
        <x:v>两图Demo中多件金币收益道具买入难回本；优先做奖励投放，长局再开放正式商店定价。</x:v>
      </x:c>
    </x:row>
    <x:row r="21" ht="46" customHeight="1">
      <x:c r="A21" s="24" t="str">
        <x:v>5</x:v>
      </x:c>
      <x:c r="B21" s="24" t="str">
        <x:v>强技能</x:v>
      </x:c>
      <x:c r="C21" s="24" t="str">
        <x:v>满血时间停止/三秒无敌必须按真实时间处理并验证Boss、机关、物理及暂停，暂不可宣称已实装。</x:v>
      </x:c>
    </x:row>
    <x:row r="22" ht="46" customHeight="1">
      <x:c r="A22" s="24" t="str">
        <x:v>6</x:v>
      </x:c>
      <x:c r="B22" s="24" t="str">
        <x:v>成长</x:v>
      </x:c>
      <x:c r="C22" s="24" t="str">
        <x:v>重复获取自动Lv1→2→3，同名不叠装备负荷；16件原图鉴+新增迟暮钟摆支持升级。</x:v>
      </x:c>
    </x:row>
    <x:row r="23" ht="46" customHeight="1">
      <x:c r="A23" s="24" t="str">
        <x:v>7</x:v>
      </x:c>
      <x:c r="B23" s="24" t="str">
        <x:v>词汇统一</x:v>
      </x:c>
      <x:c r="C23" s="24" t="str">
        <x:v>所有召唤机制统一采用机械钟卫、巡钟无人机、装配匣等钟表机械风格。</x:v>
      </x:c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M4"/>
    <x:mergeCell ref="J5:M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7" hidden="0" customWidth="1"/>
    <x:col min="4" max="4" width="10" hidden="0" customWidth="1"/>
    <x:col min="5" max="5" width="17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1" hidden="0" customWidth="1"/>
    <x:col min="11" max="11" width="11" hidden="0" customWidth="1"/>
    <x:col min="12" max="12" width="62" hidden="0" customWidth="1"/>
    <x:col min="13" max="13" width="27" hidden="0" customWidth="1"/>
    <x:col min="14" max="14" width="51" hidden="0" customWidth="1"/>
    <x:col min="15" max="15" width="18" hidden="0" customWidth="1"/>
    <x:col min="16" max="16" width="10" hidden="0" customWidth="1"/>
    <x:col min="17" max="17" width="60" hidden="0" customWidth="1"/>
    <x:col min="18" max="18" width="13" hidden="0" customWidth="1"/>
    <x:col min="19" max="19" width="26" hidden="0" customWidth="1"/>
    <x:col min="20" max="20" width="46" hidden="0" customWidth="1"/>
    <x:col min="21" max="21" width="62" hidden="0" customWidth="1"/>
    <x:col min="22" max="22" width="44" hidden="0" customWidth="1"/>
    <x:col min="23" max="23" width="13" hidden="0" customWidth="1"/>
    <x:col min="24" max="24" width="13" hidden="0" customWidth="1"/>
    <x:col min="25" max="25" width="17" hidden="0" customWidth="1"/>
    <x:col min="26" max="26" width="24" hidden="0" customWidth="1"/>
    <x:col min="27" max="27" width="15" hidden="0" customWidth="1"/>
    <x:col min="28" max="28" width="26" hidden="0" customWidth="1"/>
  </x:cols>
  <x:sheetData>
    <x:row r="1" ht="33" customHeight="1">
      <x:c r="A1" s="4" t="str">
        <x:v>失序之钟 | 有效肉鸽道具池 V5（72件）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25" customHeight="1">
      <x:c r="A2" s="9" t="str">
        <x:v>70件原图鉴有效 + 2件新增 · V4实装参考main 26e7f2a · 机制来自逐件用户反馈；价格与负荷为新一轮建议值，未自动写入Godot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</x:row>
    <x:row r="3" ht="10" customHeight="1"/>
    <x:row r="4" ht="27" customHeight="1">
      <x:c r="A4" s="13" t="str">
        <x:v>可编辑列：G建议负荷、I建议价格；U为本次快照，真正参数请在「03 数值参数」逐条改。所有‘已确认’指玩法机制而不是平衡已验收。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</x:row>
    <x:row r="5" ht="31" customHeight="1">
      <x:c r="A5" s="19" t="str">
        <x:v>评审编号</x:v>
      </x:c>
      <x:c r="B5" s="19" t="str">
        <x:v>稳定ID</x:v>
      </x:c>
      <x:c r="C5" s="19" t="str">
        <x:v>正式名称</x:v>
      </x:c>
      <x:c r="D5" s="19" t="str">
        <x:v>稀有度</x:v>
      </x:c>
      <x:c r="E5" s="19" t="str">
        <x:v>用途分类</x:v>
      </x:c>
      <x:c r="F5" s="19" t="str">
        <x:v>齿轮负荷_V4</x:v>
      </x:c>
      <x:c r="G5" s="19" t="str">
        <x:v>建议负荷_可编辑</x:v>
      </x:c>
      <x:c r="H5" s="19" t="str">
        <x:v>V4价格(金)</x:v>
      </x:c>
      <x:c r="I5" s="19" t="str">
        <x:v>建议价格_可编辑</x:v>
      </x:c>
      <x:c r="J5" s="19" t="str">
        <x:v>可升级</x:v>
      </x:c>
      <x:c r="K5" s="19" t="str">
        <x:v>最高等级</x:v>
      </x:c>
      <x:c r="L5" s="19" t="str">
        <x:v>最终机制与效果</x:v>
      </x:c>
      <x:c r="M5" s="19" t="str">
        <x:v>触发条件</x:v>
      </x:c>
      <x:c r="N5" s="19" t="str">
        <x:v>机制限制/防刷</x:v>
      </x:c>
      <x:c r="O5" s="19" t="str">
        <x:v>前置能力</x:v>
      </x:c>
      <x:c r="P5" s="19" t="str">
        <x:v>优先级</x:v>
      </x:c>
      <x:c r="Q5" s="19" t="str">
        <x:v>单件性价比分析</x:v>
      </x:c>
      <x:c r="R5" s="19" t="str">
        <x:v>高风险点</x:v>
      </x:c>
      <x:c r="S5" s="19" t="str">
        <x:v>机制决定状态</x:v>
      </x:c>
      <x:c r="T5" s="19" t="str">
        <x:v>世界观简介</x:v>
      </x:c>
      <x:c r="U5" s="19" t="str">
        <x:v>参数JSON_建议快照</x:v>
      </x:c>
      <x:c r="V5" s="19" t="str">
        <x:v>原始项目参数/代码来源</x:v>
      </x:c>
      <x:c r="W5" s="19" t="str">
        <x:v>改负荷</x:v>
      </x:c>
      <x:c r="X5" s="19" t="str">
        <x:v>改价格</x:v>
      </x:c>
      <x:c r="Y5" s="19" t="str">
        <x:v>建议每槽金币</x:v>
      </x:c>
      <x:c r="Z5" s="19" t="str">
        <x:v>数值分析标签</x:v>
      </x:c>
      <x:c r="AA5" s="19" t="str">
        <x:v>用户评审结论</x:v>
      </x:c>
      <x:c r="AB5" s="19" t="str">
        <x:v>游戏实装状态</x:v>
      </x:c>
    </x:row>
    <x:row r="6" ht="55" customHeight="1">
      <x:c r="A6" s="24" t="n">
        <x:v>1</x:v>
      </x:c>
      <x:c r="B6" s="24" t="str">
        <x:v>B03</x:v>
      </x:c>
      <x:c r="C6" s="24" t="str">
        <x:v>薄暮枪管</x:v>
      </x:c>
      <x:c r="D6" s="24" t="str">
        <x:v>蓝色</x:v>
      </x:c>
      <x:c r="E6" s="24" t="str">
        <x:v>攻击强化</x:v>
      </x:c>
      <x:c r="F6" s="24" t="n">
        <x:v>2</x:v>
      </x:c>
      <x:c r="G6" s="42" t="n">
        <x:v>2</x:v>
      </x:c>
      <x:c r="H6" s="24" t="n">
        <x:v>32</x:v>
      </x:c>
      <x:c r="I6" s="42" t="n">
        <x:v>28</x:v>
      </x:c>
      <x:c r="J6" s="24" t="str">
        <x:v>是</x:v>
      </x:c>
      <x:c r="K6" s="24" t="n">
        <x:v>3</x:v>
      </x:c>
      <x:c r="L6" s="24" t="str">
        <x:v>Lv1/2/3 主武器基础直接伤害分别+12%/+22%/+32%；技能、灼烧和衍生伤害不重复乘算。</x:v>
      </x:c>
      <x:c r="M6" s="24" t="str">
        <x:v>已装备</x:v>
      </x:c>
      <x:c r="N6" s="24" t="str">
        <x:v>不放大派生伤害；特殊武器按预算折算；同名重复获取只升等级不额外占槽，满级不再进入奖励池</x:v>
      </x:c>
      <x:c r="O6" s="24" t="str">
        <x:v>任意攻击武器</x:v>
      </x:c>
      <x:c r="P6" s="24" t="str">
        <x:v>P0</x:v>
      </x:c>
      <x:c r="Q6" s="24" t="str">
        <x:v>最易用的通用增伤，三级+32%靠重复获得；价格略降以鼓励成套构筑。</x:v>
      </x:c>
      <x:c r="R6" s="24" t="str">
        <x:v>低</x:v>
      </x:c>
      <x:c r="S6" s="24" t="str">
        <x:v>机制已评审；数值建议待试玩</x:v>
      </x:c>
      <x:c r="T6" s="24" t="str">
        <x:v>它只是一截铜管，却还记得黄昏第一声枪响。</x:v>
      </x:c>
      <x:c r="U6" s="24" t="str">
        <x:v>{"primary_damage_multiplier_by_level":[1.12,1.22,1.32]}</x:v>
      </x:c>
      <x:c r="V6" s="24" t="str">
        <x:v>https://github.com/zhipijun1996/gunman-rush/blob/26e7f2a4459623f35613a857da8a75e89daa3e62/scripts/combat/weapon_definition.gd</x:v>
      </x:c>
      <x:c r="W6" s="24" t="n">
        <x:f>IF(OR(F6="",G6=""),"",G6-F6)</x:f>
        <x:v>0</x:v>
      </x:c>
      <x:c r="X6" s="24" t="n">
        <x:f>IF(OR(H6="",I6=""),"",I6-H6)</x:f>
        <x:v>-4</x:v>
      </x:c>
      <x:c r="Y6" s="24" t="n">
        <x:f>IFERROR(ROUND(I6/G6,1),"")</x:f>
        <x:v>14</x:v>
      </x:c>
      <x:c r="Z6" s="24" t="str">
        <x:v>数值候选</x:v>
      </x:c>
      <x:c r="AA6" s="24" t="str">
        <x:v>修改</x:v>
      </x:c>
      <x:c r="AB6" s="24" t="str">
        <x:v>设计候选；未声称已实装</x:v>
      </x:c>
    </x:row>
    <x:row r="7" ht="55" customHeight="1">
      <x:c r="A7" s="24" t="n">
        <x:v>2</x:v>
      </x:c>
      <x:c r="B7" s="24" t="str">
        <x:v>B05</x:v>
      </x:c>
      <x:c r="C7" s="24" t="str">
        <x:v>疾鸣撞针</x:v>
      </x:c>
      <x:c r="D7" s="24" t="str">
        <x:v>蓝色</x:v>
      </x:c>
      <x:c r="E7" s="24" t="str">
        <x:v>攻击 / 武器</x:v>
      </x:c>
      <x:c r="F7" s="24" t="n">
        <x:v>2</x:v>
      </x:c>
      <x:c r="G7" s="42" t="n">
        <x:v>2</x:v>
      </x:c>
      <x:c r="H7" s="24" t="n">
        <x:v>32</x:v>
      </x:c>
      <x:c r="I7" s="42" t="n">
        <x:v>25</x:v>
      </x:c>
      <x:c r="J7" s="24" t="str">
        <x:v>否</x:v>
      </x:c>
      <x:c r="K7" s="24" t="n">
        <x:v>1</x:v>
      </x:c>
      <x:c r="L7" s="24" t="str">
        <x:v>主武器冷却×0.88（脉冲枪0.25→0.22秒），受最低射击间隔限制，不替代松手射击。</x:v>
      </x:c>
      <x:c r="M7" s="24" t="str">
        <x:v>合法发射</x:v>
      </x:c>
      <x:c r="N7" s="24" t="str">
        <x:v>同类总冷却倍率不低于0.65；不改松手发射意图</x:v>
      </x:c>
      <x:c r="O7" s="24" t="str">
        <x:v>任意攻击武器</x:v>
      </x:c>
      <x:c r="P7" s="24" t="str">
        <x:v>P0</x:v>
      </x:c>
      <x:c r="Q7" s="24" t="str">
        <x:v>伤害频率受0.25秒冷却与空中1发资格限制；改为25金更匹配实际收益。</x:v>
      </x:c>
      <x:c r="R7" s="24" t="str">
        <x:v>低</x:v>
      </x:c>
      <x:c r="S7" s="24" t="str">
        <x:v>机制已评审；数值建议待试玩</x:v>
      </x:c>
      <x:c r="T7" s="24" t="str">
        <x:v>钟声迟到半拍，撞针便抢回那半拍。</x:v>
      </x:c>
      <x:c r="U7" s="24" t="str">
        <x:v>{"primary_cooldown_multiplier":0.88}</x:v>
      </x:c>
      <x:c r="V7" s="24" t="str">
        <x:v>https://github.com/zhipijun1996/gunman-rush/blob/26e7f2a4459623f35613a857da8a75e89daa3e62/scripts/combat/weapon_definition.gd</x:v>
      </x:c>
      <x:c r="W7" s="24" t="n">
        <x:f>IF(OR(F7="",G7=""),"",G7-F7)</x:f>
        <x:v>0</x:v>
      </x:c>
      <x:c r="X7" s="24" t="n">
        <x:f>IF(OR(H7="",I7=""),"",I7-H7)</x:f>
        <x:v>-7</x:v>
      </x:c>
      <x:c r="Y7" s="24" t="n">
        <x:f>IFERROR(ROUND(I7/G7,1),"")</x:f>
        <x:v>12.5</x:v>
      </x:c>
      <x:c r="Z7" s="24" t="str">
        <x:v>数值候选</x:v>
      </x:c>
      <x:c r="AA7" s="24" t="str">
        <x:v>保留</x:v>
      </x:c>
      <x:c r="AB7" s="24" t="str">
        <x:v>设计候选；未声称已实装</x:v>
      </x:c>
    </x:row>
    <x:row r="8" ht="55" customHeight="1">
      <x:c r="A8" s="24" t="n">
        <x:v>3</x:v>
      </x:c>
      <x:c r="B8" s="24" t="str">
        <x:v>B22</x:v>
      </x:c>
      <x:c r="C8" s="24" t="str">
        <x:v>扩震钟环</x:v>
      </x:c>
      <x:c r="D8" s="24" t="str">
        <x:v>蓝色</x:v>
      </x:c>
      <x:c r="E8" s="24" t="str">
        <x:v>炸弹武器</x:v>
      </x:c>
      <x:c r="F8" s="24" t="n">
        <x:v>2</x:v>
      </x:c>
      <x:c r="G8" s="42" t="n">
        <x:v>2</x:v>
      </x:c>
      <x:c r="H8" s="24" t="n">
        <x:v>35</x:v>
      </x:c>
      <x:c r="I8" s="42" t="n">
        <x:v>29</x:v>
      </x:c>
      <x:c r="J8" s="24" t="str">
        <x:v>是</x:v>
      </x:c>
      <x:c r="K8" s="24" t="n">
        <x:v>3</x:v>
      </x:c>
      <x:c r="L8" s="24" t="str">
        <x:v>三种炸弹武器（含其升级形态）的爆炸伤害判定半径×1.12/1.20/1.28；不改变磁吸范围、伤害或人物位移。</x:v>
      </x:c>
      <x:c r="M8" s="24" t="str">
        <x:v>磁吸遥爆雷生效</x:v>
      </x:c>
      <x:c r="N8" s="24" t="str">
        <x:v>不改变安放位置规则、炸弹上限或爆破次数；同名重复获取只升等级不额外占槽，满级不再进入奖励池</x:v>
      </x:c>
      <x:c r="O8" s="24" t="str">
        <x:v>磁吸遥爆雷 Lv2</x:v>
      </x:c>
      <x:c r="P8" s="24" t="str">
        <x:v>P2</x:v>
      </x:c>
      <x:c r="Q8" s="24" t="str">
        <x:v>三种炸弹共用，Lv3半径+28%范围面积约+64%，容易过强；保留不增伤。</x:v>
      </x:c>
      <x:c r="R8" s="24" t="str">
        <x:v>高</x:v>
      </x:c>
      <x:c r="S8" s="24" t="str">
        <x:v>机制已评审；数值建议待试玩</x:v>
      </x:c>
      <x:c r="T8" s="24" t="str">
        <x:v>风吹不回远处的钟，磁石却能把铁屑唤回。</x:v>
      </x:c>
      <x:c r="U8" s="24" t="str">
        <x:v>{"bomb_explosion_radius_multiplier_by_level":[1.12,1.2,1.28],"weapon_family":"BOMB"}</x:v>
      </x:c>
      <x:c r="V8" s="24" t="str">
        <x:v>https://github.com/zhipijun1996/gunman-rush/blob/26e7f2a4459623f35613a857da8a75e89daa3e62/scripts/combat/weapon_definition.gd</x:v>
      </x:c>
      <x:c r="W8" s="24" t="n">
        <x:f>IF(OR(F8="",G8=""),"",G8-F8)</x:f>
        <x:v>0</x:v>
      </x:c>
      <x:c r="X8" s="24" t="n">
        <x:f>IF(OR(H8="",I8=""),"",I8-H8)</x:f>
        <x:v>-6</x:v>
      </x:c>
      <x:c r="Y8" s="24" t="n">
        <x:f>IFERROR(ROUND(I8/G8,1),"")</x:f>
        <x:v>14.5</x:v>
      </x:c>
      <x:c r="Z8" s="24" t="str">
        <x:v>强机制：需整图实测</x:v>
      </x:c>
      <x:c r="AA8" s="24" t="str">
        <x:v>修改</x:v>
      </x:c>
      <x:c r="AB8" s="24" t="str">
        <x:v>设计候选；未声称已实装</x:v>
      </x:c>
    </x:row>
    <x:row r="9" ht="55" customHeight="1">
      <x:c r="A9" s="24" t="n">
        <x:v>5</x:v>
      </x:c>
      <x:c r="B9" s="24" t="str">
        <x:v>B29</x:v>
      </x:c>
      <x:c r="C9" s="24" t="str">
        <x:v>薄钟长管</x:v>
      </x:c>
      <x:c r="D9" s="24" t="str">
        <x:v>蓝色</x:v>
      </x:c>
      <x:c r="E9" s="24" t="str">
        <x:v>武器弹道</x:v>
      </x:c>
      <x:c r="F9" s="24" t="n">
        <x:v>3</x:v>
      </x:c>
      <x:c r="G9" s="42" t="n">
        <x:v>1</x:v>
      </x:c>
      <x:c r="H9" s="24" t="n">
        <x:v>32</x:v>
      </x:c>
      <x:c r="I9" s="42" t="n">
        <x:v>25</x:v>
      </x:c>
      <x:c r="J9" s="24" t="str">
        <x:v>是</x:v>
      </x:c>
      <x:c r="K9" s="24" t="n">
        <x:v>3</x:v>
      </x:c>
      <x:c r="L9" s="24" t="str">
        <x:v>普通枪械弹体有效射程×1.20/1.35/1.50，固定1齿轮槽，不穿墙。</x:v>
      </x:c>
      <x:c r="M9" s="24" t="str">
        <x:v>普通枪弹发射</x:v>
      </x:c>
      <x:c r="N9" s="24" t="str">
        <x:v>不穿墙、不影响钩索、不改反冲；同名重复获取只升等级不额外占槽，满级不再进入奖励池</x:v>
      </x:c>
      <x:c r="O9" s="24" t="str">
        <x:v>枪械</x:v>
      </x:c>
      <x:c r="P9" s="24" t="str">
        <x:v>P1</x:v>
      </x:c>
      <x:c r="Q9" s="24" t="str">
        <x:v>+20/35/50%射程不增移速，1槽才合理；对激光等非弹体模式需筛选。</x:v>
      </x:c>
      <x:c r="R9" s="24" t="str">
        <x:v>低</x:v>
      </x:c>
      <x:c r="S9" s="24" t="str">
        <x:v>机制已评审；数值建议待试玩</x:v>
      </x:c>
      <x:c r="T9" s="24" t="str">
        <x:v>遥远的山坡仍能听见这一截铜管的轻响。</x:v>
      </x:c>
      <x:c r="U9" s="24" t="str">
        <x:v>{"projectile_range_multiplier_by_level":[1.2,1.35,1.5]}</x:v>
      </x:c>
      <x:c r="V9" s="24" t="str">
        <x:v>https://github.com/zhipijun1996/gunman-rush/blob/26e7f2a4459623f35613a857da8a75e89daa3e62/scripts/combat/weapon_definition.gd</x:v>
      </x:c>
      <x:c r="W9" s="24" t="n">
        <x:f>IF(OR(F9="",G9=""),"",G9-F9)</x:f>
        <x:v>-2</x:v>
      </x:c>
      <x:c r="X9" s="24" t="n">
        <x:f>IF(OR(H9="",I9=""),"",I9-H9)</x:f>
        <x:v>-7</x:v>
      </x:c>
      <x:c r="Y9" s="24" t="n">
        <x:f>IFERROR(ROUND(I9/G9,1),"")</x:f>
        <x:v>25</x:v>
      </x:c>
      <x:c r="Z9" s="24" t="str">
        <x:v>数值候选</x:v>
      </x:c>
      <x:c r="AA9" s="24" t="str">
        <x:v>修改</x:v>
      </x:c>
      <x:c r="AB9" s="24" t="str">
        <x:v>设计候选；未声称已实装</x:v>
      </x:c>
    </x:row>
    <x:row r="10" ht="55" customHeight="1">
      <x:c r="A10" s="24" t="n">
        <x:v>6</x:v>
      </x:c>
      <x:c r="B10" s="24" t="str">
        <x:v>B31</x:v>
      </x:c>
      <x:c r="C10" s="24" t="str">
        <x:v>敲钟重锤</x:v>
      </x:c>
      <x:c r="D10" s="24" t="str">
        <x:v>蓝色</x:v>
      </x:c>
      <x:c r="E10" s="24" t="str">
        <x:v>攻击 / 武器</x:v>
      </x:c>
      <x:c r="F10" s="24" t="n">
        <x:v>2</x:v>
      </x:c>
      <x:c r="G10" s="42" t="n">
        <x:v>2</x:v>
      </x:c>
      <x:c r="H10" s="24" t="n">
        <x:v>30</x:v>
      </x:c>
      <x:c r="I10" s="42" t="n">
        <x:v>29</x:v>
      </x:c>
      <x:c r="J10" s="24" t="str">
        <x:v>否</x:v>
      </x:c>
      <x:c r="K10" s="24" t="n">
        <x:v>1</x:v>
      </x:c>
      <x:c r="L10" s="24" t="str">
        <x:v>非Boss敌人的有效受击硬直×1.30</x:v>
      </x:c>
      <x:c r="M10" s="24" t="str">
        <x:v>主攻命中有硬直的敌人</x:v>
      </x:c>
      <x:c r="N10" s="24" t="str">
        <x:v>Boss仅改变可硬直窗口，不开新破甲漏洞</x:v>
      </x:c>
      <x:c r="O10" s="24" t="str">
        <x:v>枪械</x:v>
      </x:c>
      <x:c r="P10" s="24" t="str">
        <x:v>P2</x:v>
      </x:c>
      <x:c r="Q10" s="24" t="str">
        <x:v>控制类道具不直接提升Boss输出，只对可硬直普通怪有效，29金。</x:v>
      </x:c>
      <x:c r="R10" s="24" t="str">
        <x:v>低</x:v>
      </x:c>
      <x:c r="S10" s="24" t="str">
        <x:v>机制已评审；数值建议待试玩</x:v>
      </x:c>
      <x:c r="T10" s="24" t="str">
        <x:v>声音不必更大，只需足够沉，便能让脚步停下。</x:v>
      </x:c>
      <x:c r="U10" s="24" t="str">
        <x:v>{"enemy_stagger_multiplier":1.3}</x:v>
      </x:c>
      <x:c r="V10" s="24" t="str">
        <x:v>https://github.com/zhipijun1996/gunman-rush/blob/26e7f2a4459623f35613a857da8a75e89daa3e62/scripts/combat/weapon_definition.gd</x:v>
      </x:c>
      <x:c r="W10" s="24" t="n">
        <x:f>IF(OR(F10="",G10=""),"",G10-F10)</x:f>
        <x:v>0</x:v>
      </x:c>
      <x:c r="X10" s="24" t="n">
        <x:f>IF(OR(H10="",I10=""),"",I10-H10)</x:f>
        <x:v>-1</x:v>
      </x:c>
      <x:c r="Y10" s="24" t="n">
        <x:f>IFERROR(ROUND(I10/G10,1),"")</x:f>
        <x:v>14.5</x:v>
      </x:c>
      <x:c r="Z10" s="24" t="str">
        <x:v>数值候选</x:v>
      </x:c>
      <x:c r="AA10" s="24" t="str">
        <x:v>保留</x:v>
      </x:c>
      <x:c r="AB10" s="24" t="str">
        <x:v>设计候选；未声称已实装</x:v>
      </x:c>
    </x:row>
    <x:row r="11" ht="55" customHeight="1">
      <x:c r="A11" s="24" t="n">
        <x:v>7</x:v>
      </x:c>
      <x:c r="B11" s="24" t="str">
        <x:v>P03</x:v>
      </x:c>
      <x:c r="C11" s="24" t="str">
        <x:v>术式增幅石</x:v>
      </x:c>
      <x:c r="D11" s="24" t="str">
        <x:v>紫色</x:v>
      </x:c>
      <x:c r="E11" s="24" t="str">
        <x:v>主动技能</x:v>
      </x:c>
      <x:c r="F11" s="24" t="n">
        <x:v>3</x:v>
      </x:c>
      <x:c r="G11" s="42" t="n">
        <x:v>3</x:v>
      </x:c>
      <x:c r="H11" s="24" t="n">
        <x:v>80</x:v>
      </x:c>
      <x:c r="I11" s="42" t="n">
        <x:v>54</x:v>
      </x:c>
      <x:c r="J11" s="24" t="str">
        <x:v>是</x:v>
      </x:c>
      <x:c r="K11" s="24" t="n">
        <x:v>3</x:v>
      </x:c>
      <x:c r="L11" s="24" t="str">
        <x:v>Lv3武器主动技能直接伤害Lv1/2/3分别×1.20/1.30/1.40，位移与技能资源成本不变。</x:v>
      </x:c>
      <x:c r="M11" s="24" t="str">
        <x:v>武器Lv3有效技能命中</x:v>
      </x:c>
      <x:c r="N11" s="24" t="str">
        <x:v>不加成位移距离与时间冻结；同名重复获取只升等级不额外占槽，满级不再进入奖励池</x:v>
      </x:c>
      <x:c r="O11" s="24" t="str">
        <x:v>任意武器Lv3已解锁</x:v>
      </x:c>
      <x:c r="P11" s="24" t="str">
        <x:v>P1</x:v>
      </x:c>
      <x:c r="Q11" s="24" t="str">
        <x:v>Lv3前置强，对所有Lv3主动直伤+20/30/40%，价格54、3槽；位移不强化。</x:v>
      </x:c>
      <x:c r="R11" s="24" t="str">
        <x:v>低</x:v>
      </x:c>
      <x:c r="S11" s="24" t="str">
        <x:v>机制已评审；数值建议待试玩</x:v>
      </x:c>
      <x:c r="T11" s="24" t="str">
        <x:v>碎钟上的铭文，仍记得如何把一声鸣响变成雷霆。</x:v>
      </x:c>
      <x:c r="U11" s="24" t="str">
        <x:v>{"lv3_skill_damage_multiplier_by_level":[1.2,1.3,1.4]}</x:v>
      </x:c>
      <x:c r="V11" s="24" t="str">
        <x:v>https://github.com/zhipijun1996/gunman-rush/blob/26e7f2a4459623f35613a857da8a75e89daa3e62/scripts/resources/state/combat_energy_state.gd</x:v>
      </x:c>
      <x:c r="W11" s="24" t="n">
        <x:f>IF(OR(F11="",G11=""),"",G11-F11)</x:f>
        <x:v>0</x:v>
      </x:c>
      <x:c r="X11" s="24" t="n">
        <x:f>IF(OR(H11="",I11=""),"",I11-H11)</x:f>
        <x:v>-26</x:v>
      </x:c>
      <x:c r="Y11" s="24" t="n">
        <x:f>IFERROR(ROUND(I11/G11,1),"")</x:f>
        <x:v>18</x:v>
      </x:c>
      <x:c r="Z11" s="24" t="str">
        <x:v>数值候选</x:v>
      </x:c>
      <x:c r="AA11" s="24" t="str">
        <x:v>修改</x:v>
      </x:c>
      <x:c r="AB11" s="24" t="str">
        <x:v>设计候选；未声称已实装</x:v>
      </x:c>
    </x:row>
    <x:row r="12" ht="55" customHeight="1">
      <x:c r="A12" s="24" t="n">
        <x:v>8</x:v>
      </x:c>
      <x:c r="B12" s="24" t="str">
        <x:v>P06</x:v>
      </x:c>
      <x:c r="C12" s="24" t="str">
        <x:v>满月枪歌</x:v>
      </x:c>
      <x:c r="D12" s="24" t="str">
        <x:v>紫色</x:v>
      </x:c>
      <x:c r="E12" s="24" t="str">
        <x:v>时间能量</x:v>
      </x:c>
      <x:c r="F12" s="24" t="n">
        <x:v>3</x:v>
      </x:c>
      <x:c r="G12" s="42" t="n">
        <x:v>3</x:v>
      </x:c>
      <x:c r="H12" s="24" t="n">
        <x:v>63</x:v>
      </x:c>
      <x:c r="I12" s="42" t="n">
        <x:v>61</x:v>
      </x:c>
      <x:c r="J12" s="24" t="str">
        <x:v>否</x:v>
      </x:c>
      <x:c r="K12" s="24" t="n">
        <x:v>1</x:v>
      </x:c>
      <x:c r="L12" s="24" t="str">
        <x:v>满血时，将原空中瞄准世界15%慢时替换为世界完全停止(0%)；依然消耗原时间能量，单次腾空慢时2秒预算不变；唯一等级。</x:v>
      </x:c>
      <x:c r="M12" s="24" t="str">
        <x:v>满HP且空中瞄准</x:v>
      </x:c>
      <x:c r="N12" s="24" t="str">
        <x:v>必须满HP；仍消耗正常时间能量与原2秒空中慢时预算；只冻结游戏世界相关对象；唯一1级</x:v>
      </x:c>
      <x:c r="O12" s="24" t="str">
        <x:v>任意攻击武器</x:v>
      </x:c>
      <x:c r="P12" s="24" t="str">
        <x:v>P2</x:v>
      </x:c>
      <x:c r="Q12" s="24" t="str">
        <x:v>满血慢时15%→停止极强但满血条件+45时间能耗限制，保持3槽，售价略提。</x:v>
      </x:c>
      <x:c r="R12" s="24" t="str">
        <x:v>高</x:v>
      </x:c>
      <x:c r="S12" s="24" t="str">
        <x:v>机制已评审；数值建议待试玩</x:v>
      </x:c>
      <x:c r="T12" s="24" t="str">
        <x:v>那一夜满月很轻，轻得没有人听见钟塔崩塌。</x:v>
      </x:c>
      <x:c r="U12" s="24" t="str">
        <x:v>{"requires_full_hp":1,"world_time_scale_while_air_aiming":0,"time_energy_drain_per_real_s":45,"airtime_focus_budget_s":2,"level_cap":1}</x:v>
      </x:c>
      <x:c r="V12" s="24" t="str">
        <x:v>https://github.com/zhipijun1996/gunman-rush/blob/26e7f2a4459623f35613a857da8a75e89daa3e62/scripts/combat/weapon_definition.gd</x:v>
      </x:c>
      <x:c r="W12" s="24" t="n">
        <x:f>IF(OR(F12="",G12=""),"",G12-F12)</x:f>
        <x:v>0</x:v>
      </x:c>
      <x:c r="X12" s="24" t="n">
        <x:f>IF(OR(H12="",I12=""),"",I12-H12)</x:f>
        <x:v>-2</x:v>
      </x:c>
      <x:c r="Y12" s="24" t="n">
        <x:f>IFERROR(ROUND(I12/G12,1),"")</x:f>
        <x:v>20.3</x:v>
      </x:c>
      <x:c r="Z12" s="24" t="str">
        <x:v>强机制：需整图实测</x:v>
      </x:c>
      <x:c r="AA12" s="24" t="str">
        <x:v>修改</x:v>
      </x:c>
      <x:c r="AB12" s="24" t="str">
        <x:v>设计候选；未声称已实装</x:v>
      </x:c>
    </x:row>
    <x:row r="13" ht="55" customHeight="1">
      <x:c r="A13" s="24" t="n">
        <x:v>10</x:v>
      </x:c>
      <x:c r="B13" s="24" t="str">
        <x:v>P08</x:v>
      </x:c>
      <x:c r="C13" s="24" t="str">
        <x:v>穿响音叉</x:v>
      </x:c>
      <x:c r="D13" s="24" t="str">
        <x:v>紫色</x:v>
      </x:c>
      <x:c r="E13" s="24" t="str">
        <x:v>攻击 / 武器</x:v>
      </x:c>
      <x:c r="F13" s="24" t="n">
        <x:v>3</x:v>
      </x:c>
      <x:c r="G13" s="42" t="n">
        <x:v>3</x:v>
      </x:c>
      <x:c r="H13" s="24" t="n">
        <x:v>61</x:v>
      </x:c>
      <x:c r="I13" s="42" t="n">
        <x:v>48</x:v>
      </x:c>
      <x:c r="J13" s="24" t="str">
        <x:v>是</x:v>
      </x:c>
      <x:c r="K13" s="24" t="n">
        <x:v>3</x:v>
      </x:c>
      <x:c r="L13" s="24" t="str">
        <x:v>主弹多贯穿1名额外敌人；被贯穿目标伤害Lv1/2/3为0.65/0.80/0.95D，无法穿实体墙。</x:v>
      </x:c>
      <x:c r="M13" s="24" t="str">
        <x:v>主弹命中目标</x:v>
      </x:c>
      <x:c r="N13" s="24" t="str">
        <x:v>不能穿实体墙/护甲；与其他弹道替换按规则仲裁；同名重复获取只升等级不额外占槽，满级不再进入奖励池</x:v>
      </x:c>
      <x:c r="O13" s="24" t="str">
        <x:v>枪械/可贯穿弹道</x:v>
      </x:c>
      <x:c r="P13" s="24" t="str">
        <x:v>P2</x:v>
      </x:c>
      <x:c r="Q13" s="24" t="str">
        <x:v>穿透只能作用于有第二目标的遭遇，不加单体Boss伤害，定价48。</x:v>
      </x:c>
      <x:c r="R13" s="24" t="str">
        <x:v>低</x:v>
      </x:c>
      <x:c r="S13" s="24" t="str">
        <x:v>机制已评审；数值建议待试玩</x:v>
      </x:c>
      <x:c r="T13" s="24" t="str">
        <x:v>一声钟鸣穿过空荡长廊，迟迟不肯停下。</x:v>
      </x:c>
      <x:c r="U13" s="24" t="str">
        <x:v>{"max_extra_pierce":1,"pierced_damage_ratio_D_by_level":[0.65,0.8,0.95]}</x:v>
      </x:c>
      <x:c r="V13" s="24" t="str">
        <x:v>https://github.com/zhipijun1996/gunman-rush/blob/26e7f2a4459623f35613a857da8a75e89daa3e62/scripts/combat/weapon_definition.gd</x:v>
      </x:c>
      <x:c r="W13" s="24" t="n">
        <x:f>IF(OR(F13="",G13=""),"",G13-F13)</x:f>
        <x:v>0</x:v>
      </x:c>
      <x:c r="X13" s="24" t="n">
        <x:f>IF(OR(H13="",I13=""),"",I13-H13)</x:f>
        <x:v>-13</x:v>
      </x:c>
      <x:c r="Y13" s="24" t="n">
        <x:f>IFERROR(ROUND(I13/G13,1),"")</x:f>
        <x:v>16</x:v>
      </x:c>
      <x:c r="Z13" s="24" t="str">
        <x:v>数值候选</x:v>
      </x:c>
      <x:c r="AA13" s="24" t="str">
        <x:v>修改</x:v>
      </x:c>
      <x:c r="AB13" s="24" t="str">
        <x:v>设计候选；未声称已实装</x:v>
      </x:c>
    </x:row>
    <x:row r="14" ht="55" customHeight="1">
      <x:c r="A14" s="24" t="n">
        <x:v>13</x:v>
      </x:c>
      <x:c r="B14" s="24" t="str">
        <x:v>P23</x:v>
      </x:c>
      <x:c r="C14" s="24" t="str">
        <x:v>奇点余振环</x:v>
      </x:c>
      <x:c r="D14" s="24" t="str">
        <x:v>紫色</x:v>
      </x:c>
      <x:c r="E14" s="24" t="str">
        <x:v>武器专精</x:v>
      </x:c>
      <x:c r="F14" s="24" t="n">
        <x:v>2</x:v>
      </x:c>
      <x:c r="G14" s="42" t="n">
        <x:v>2</x:v>
      </x:c>
      <x:c r="H14" s="24" t="n">
        <x:v>78</x:v>
      </x:c>
      <x:c r="I14" s="42" t="n">
        <x:v>53</x:v>
      </x:c>
      <x:c r="J14" s="24" t="str">
        <x:v>否</x:v>
      </x:c>
      <x:c r="K14" s="24" t="n">
        <x:v>1</x:v>
      </x:c>
      <x:c r="L14" s="24" t="str">
        <x:v>坍缩奇点吸引持续+0.12秒（基础0.42→0.54秒），爆炸伤害×1.10；不能远程安放。</x:v>
      </x:c>
      <x:c r="M14" s="24" t="str">
        <x:v>坍缩奇点已经在本人位置合法建立</x:v>
      </x:c>
      <x:c r="N14" s="24" t="str">
        <x:v>绝不可远程安放、取消角色固定、增加位移范围或改右杆定向</x:v>
      </x:c>
      <x:c r="O14" s="24" t="str">
        <x:v>坍缩奇点 Lv2</x:v>
      </x:c>
      <x:c r="P14" s="24" t="str">
        <x:v>P1</x:v>
      </x:c>
      <x:c r="Q14" s="24" t="str">
        <x:v>奇点+0.12秒吸引且爆炸+10%，只一种武器，原78金过贵，53金。</x:v>
      </x:c>
      <x:c r="R14" s="24" t="str">
        <x:v>低</x:v>
      </x:c>
      <x:c r="S14" s="24" t="str">
        <x:v>机制已评审；数值建议待试玩</x:v>
      </x:c>
      <x:c r="T14" s="24" t="str">
        <x:v>在最深的钟心，连风也要绕着一粒尘埃停一停。</x:v>
      </x:c>
      <x:c r="U14" s="24" t="str">
        <x:v>{"singularity_pull_duration_add_s":0.12,"singularity_explosion_damage_multiplier":1.1}</x:v>
      </x:c>
      <x:c r="V14" s="24" t="str">
        <x:v>https://github.com/zhipijun1996/gunman-rush/blob/26e7f2a4459623f35613a857da8a75e89daa3e62/scripts/combat/weapon_definition.gd</x:v>
      </x:c>
      <x:c r="W14" s="24" t="n">
        <x:f>IF(OR(F14="",G14=""),"",G14-F14)</x:f>
        <x:v>0</x:v>
      </x:c>
      <x:c r="X14" s="24" t="n">
        <x:f>IF(OR(H14="",I14=""),"",I14-H14)</x:f>
        <x:v>-25</x:v>
      </x:c>
      <x:c r="Y14" s="24" t="n">
        <x:f>IFERROR(ROUND(I14/G14,1),"")</x:f>
        <x:v>26.5</x:v>
      </x:c>
      <x:c r="Z14" s="24" t="str">
        <x:v>数值候选</x:v>
      </x:c>
      <x:c r="AA14" s="24" t="str">
        <x:v>保留</x:v>
      </x:c>
      <x:c r="AB14" s="24" t="str">
        <x:v>设计候选；未声称已实装</x:v>
      </x:c>
    </x:row>
    <x:row r="15" ht="55" customHeight="1">
      <x:c r="A15" s="24" t="n">
        <x:v>14</x:v>
      </x:c>
      <x:c r="B15" s="24" t="str">
        <x:v>P31</x:v>
      </x:c>
      <x:c r="C15" s="24" t="str">
        <x:v>刻风膛室</x:v>
      </x:c>
      <x:c r="D15" s="24" t="str">
        <x:v>紫色</x:v>
      </x:c>
      <x:c r="E15" s="24" t="str">
        <x:v>攻击 / 武器</x:v>
      </x:c>
      <x:c r="F15" s="24" t="n">
        <x:v>3</x:v>
      </x:c>
      <x:c r="G15" s="42" t="n">
        <x:v>3</x:v>
      </x:c>
      <x:c r="H15" s="24" t="n">
        <x:v>67</x:v>
      </x:c>
      <x:c r="I15" s="42" t="n">
        <x:v>49</x:v>
      </x:c>
      <x:c r="J15" s="24" t="str">
        <x:v>是</x:v>
      </x:c>
      <x:c r="K15" s="24" t="n">
        <x:v>3</x:v>
      </x:c>
      <x:c r="L15" s="24" t="str">
        <x:v>空中主武器实际反冲并有效命中时额外造成0.45/0.65/0.85D；每个攻击包最多触发一次，CD1.5秒。</x:v>
      </x:c>
      <x:c r="M15" s="24" t="str">
        <x:v>已装备</x:v>
      </x:c>
      <x:c r="N15" s="24" t="str">
        <x:v>不能放大全自动多段超出总输出上限；同名重复获取只升等级不额外占槽，满级不再进入奖励池</x:v>
      </x:c>
      <x:c r="O15" s="24" t="str">
        <x:v>任意攻击武器</x:v>
      </x:c>
      <x:c r="P15" s="24" t="str">
        <x:v>P1</x:v>
      </x:c>
      <x:c r="Q15" s="24" t="str">
        <x:v>空中反冲命中才有0.45~0.85D额外爆发，P0可做通用命中事件验证。</x:v>
      </x:c>
      <x:c r="R15" s="24" t="str">
        <x:v>低</x:v>
      </x:c>
      <x:c r="S15" s="24" t="str">
        <x:v>机制已评审；数值建议待试玩</x:v>
      </x:c>
      <x:c r="T15" s="24" t="str">
        <x:v>风把刀痕留在枪膛内壁，也留下更锋利的回声。</x:v>
      </x:c>
      <x:c r="U15" s="24" t="str">
        <x:v>{"air_recoil_hit_extra_damage_ratio_D_by_level":[0.45,0.65,0.85],"cooldown_s":1.5}</x:v>
      </x:c>
      <x:c r="V15" s="24" t="str">
        <x:v>https://github.com/zhipijun1996/gunman-rush/blob/26e7f2a4459623f35613a857da8a75e89daa3e62/scripts/combat/weapon_definition.gd</x:v>
      </x:c>
      <x:c r="W15" s="24" t="n">
        <x:f>IF(OR(F15="",G15=""),"",G15-F15)</x:f>
        <x:v>0</x:v>
      </x:c>
      <x:c r="X15" s="24" t="n">
        <x:f>IF(OR(H15="",I15=""),"",I15-H15)</x:f>
        <x:v>-18</x:v>
      </x:c>
      <x:c r="Y15" s="24" t="n">
        <x:f>IFERROR(ROUND(I15/G15,1),"")</x:f>
        <x:v>16.3</x:v>
      </x:c>
      <x:c r="Z15" s="24" t="str">
        <x:v>数值候选</x:v>
      </x:c>
      <x:c r="AA15" s="24" t="str">
        <x:v>修改</x:v>
      </x:c>
      <x:c r="AB15" s="24" t="str">
        <x:v>设计候选；未声称已实装</x:v>
      </x:c>
    </x:row>
    <x:row r="16" ht="55" customHeight="1">
      <x:c r="A16" s="24" t="n">
        <x:v>15</x:v>
      </x:c>
      <x:c r="B16" s="24" t="str">
        <x:v>P33</x:v>
      </x:c>
      <x:c r="C16" s="24" t="str">
        <x:v>恒辉折镜</x:v>
      </x:c>
      <x:c r="D16" s="24" t="str">
        <x:v>紫色</x:v>
      </x:c>
      <x:c r="E16" s="24" t="str">
        <x:v>武器专精</x:v>
      </x:c>
      <x:c r="F16" s="24" t="n">
        <x:v>3</x:v>
      </x:c>
      <x:c r="G16" s="42" t="n">
        <x:v>2</x:v>
      </x:c>
      <x:c r="H16" s="24" t="n">
        <x:v>80</x:v>
      </x:c>
      <x:c r="I16" s="42" t="n">
        <x:v>51</x:v>
      </x:c>
      <x:c r="J16" s="24" t="str">
        <x:v>否</x:v>
      </x:c>
      <x:c r="K16" s="24" t="n">
        <x:v>1</x:v>
      </x:c>
      <x:c r="L16" s="24" t="str">
        <x:v>激光有效命中宽度×1.12，不改变中心射线与持续伤害结算频率。</x:v>
      </x:c>
      <x:c r="M16" s="24" t="str">
        <x:v>恒流激光合法命中</x:v>
      </x:c>
      <x:c r="N16" s="24" t="str">
        <x:v>不得超出瞄准指示；持续命中回能使用结算节流</x:v>
      </x:c>
      <x:c r="O16" s="24" t="str">
        <x:v>恒流激光 Lv2</x:v>
      </x:c>
      <x:c r="P16" s="24" t="str">
        <x:v>P1</x:v>
      </x:c>
      <x:c r="Q16" s="24" t="str">
        <x:v>激光碰撞宽度+12%，仅一支武器，原3槽过重建议2槽。</x:v>
      </x:c>
      <x:c r="R16" s="24" t="str">
        <x:v>低</x:v>
      </x:c>
      <x:c r="S16" s="24" t="str">
        <x:v>机制已评审；数值建议待试玩</x:v>
      </x:c>
      <x:c r="T16" s="24" t="str">
        <x:v>一道太细的光，在小小镜片里终于照亮了两旁。</x:v>
      </x:c>
      <x:c r="U16" s="24" t="str">
        <x:v>{"laser_hit_width_multiplier":1.12}</x:v>
      </x:c>
      <x:c r="V16" s="24" t="str">
        <x:v>https://github.com/zhipijun1996/gunman-rush/blob/26e7f2a4459623f35613a857da8a75e89daa3e62/scripts/combat/weapon_definition.gd</x:v>
      </x:c>
      <x:c r="W16" s="24" t="n">
        <x:f>IF(OR(F16="",G16=""),"",G16-F16)</x:f>
        <x:v>-1</x:v>
      </x:c>
      <x:c r="X16" s="24" t="n">
        <x:f>IF(OR(H16="",I16=""),"",I16-H16)</x:f>
        <x:v>-29</x:v>
      </x:c>
      <x:c r="Y16" s="24" t="n">
        <x:f>IFERROR(ROUND(I16/G16,1),"")</x:f>
        <x:v>25.5</x:v>
      </x:c>
      <x:c r="Z16" s="24" t="str">
        <x:v>数值候选</x:v>
      </x:c>
      <x:c r="AA16" s="24" t="str">
        <x:v>保留</x:v>
      </x:c>
      <x:c r="AB16" s="24" t="str">
        <x:v>设计候选；未声称已实装</x:v>
      </x:c>
    </x:row>
    <x:row r="17" ht="55" customHeight="1">
      <x:c r="A17" s="24" t="n">
        <x:v>16</x:v>
      </x:c>
      <x:c r="B17" s="24" t="str">
        <x:v>P34</x:v>
      </x:c>
      <x:c r="C17" s="24" t="str">
        <x:v>连奏梭轮</x:v>
      </x:c>
      <x:c r="D17" s="24" t="str">
        <x:v>紫色</x:v>
      </x:c>
      <x:c r="E17" s="24" t="str">
        <x:v>武器专精</x:v>
      </x:c>
      <x:c r="F17" s="24" t="n">
        <x:v>2</x:v>
      </x:c>
      <x:c r="G17" s="42" t="n">
        <x:v>2</x:v>
      </x:c>
      <x:c r="H17" s="24" t="n">
        <x:v>78</x:v>
      </x:c>
      <x:c r="I17" s="42" t="n">
        <x:v>50</x:v>
      </x:c>
      <x:c r="J17" s="24" t="str">
        <x:v>否</x:v>
      </x:c>
      <x:c r="K17" s="24" t="n">
        <x:v>1</x:v>
      </x:c>
      <x:c r="L17" s="24" t="str">
        <x:v>三连枪第三发真实命中时产生0.30D冲击波；三连射共用一个攻击包。</x:v>
      </x:c>
      <x:c r="M17" s="24" t="str">
        <x:v>三连机关枪发射完整三连射</x:v>
      </x:c>
      <x:c r="N17" s="24" t="str">
        <x:v>只有第三发真实有效命中触发；三发使用一个burst_id预算</x:v>
      </x:c>
      <x:c r="O17" s="24" t="str">
        <x:v>三连机关枪 Lv2</x:v>
      </x:c>
      <x:c r="P17" s="24" t="str">
        <x:v>P1</x:v>
      </x:c>
      <x:c r="Q17" s="24" t="str">
        <x:v>第三发需要真实命中才产生0.30D范围波，装备2槽，50金。</x:v>
      </x:c>
      <x:c r="R17" s="24" t="str">
        <x:v>低</x:v>
      </x:c>
      <x:c r="S17" s="24" t="str">
        <x:v>机制已评审；数值建议待试玩</x:v>
      </x:c>
      <x:c r="T17" s="24" t="str">
        <x:v>三次鸣响之后，工匠总会习惯性地轻轻敲第四下。</x:v>
      </x:c>
      <x:c r="U17" s="24" t="str">
        <x:v>{"third_hit_bonus_damage_ratio_D":0.3,"blast_radius_px":64}</x:v>
      </x:c>
      <x:c r="V17" s="24" t="str">
        <x:v>https://github.com/zhipijun1996/gunman-rush/blob/26e7f2a4459623f35613a857da8a75e89daa3e62/scripts/combat/weapon_definition.gd</x:v>
      </x:c>
      <x:c r="W17" s="24" t="n">
        <x:f>IF(OR(F17="",G17=""),"",G17-F17)</x:f>
        <x:v>0</x:v>
      </x:c>
      <x:c r="X17" s="24" t="n">
        <x:f>IF(OR(H17="",I17=""),"",I17-H17)</x:f>
        <x:v>-28</x:v>
      </x:c>
      <x:c r="Y17" s="24" t="n">
        <x:f>IFERROR(ROUND(I17/G17,1),"")</x:f>
        <x:v>25</x:v>
      </x:c>
      <x:c r="Z17" s="24" t="str">
        <x:v>数值候选</x:v>
      </x:c>
      <x:c r="AA17" s="24" t="str">
        <x:v>保留</x:v>
      </x:c>
      <x:c r="AB17" s="24" t="str">
        <x:v>设计候选；未声称已实装</x:v>
      </x:c>
    </x:row>
    <x:row r="18" ht="55" customHeight="1">
      <x:c r="A18" s="24" t="n">
        <x:v>17</x:v>
      </x:c>
      <x:c r="B18" s="24" t="str">
        <x:v>B07</x:v>
      </x:c>
      <x:c r="C18" s="24" t="str">
        <x:v>定脚支架</x:v>
      </x:c>
      <x:c r="D18" s="24" t="str">
        <x:v>蓝色</x:v>
      </x:c>
      <x:c r="E18" s="24" t="str">
        <x:v>动作 / 机动</x:v>
      </x:c>
      <x:c r="F18" s="24" t="n">
        <x:v>1</x:v>
      </x:c>
      <x:c r="G18" s="42" t="n">
        <x:v>1</x:v>
      </x:c>
      <x:c r="H18" s="24" t="n">
        <x:v>27</x:v>
      </x:c>
      <x:c r="I18" s="42" t="n">
        <x:v>22</x:v>
      </x:c>
      <x:c r="J18" s="24" t="str">
        <x:v>否</x:v>
      </x:c>
      <x:c r="K18" s="24" t="n">
        <x:v>1</x:v>
      </x:c>
      <x:c r="L18" s="24" t="str">
        <x:v>地面射击反冲系数×0.70（0.55→0.385）；空中1100×0.14反冲不变。</x:v>
      </x:c>
      <x:c r="M18" s="24" t="str">
        <x:v>地面射击</x:v>
      </x:c>
      <x:c r="N18" s="24" t="str">
        <x:v>只对战斗地面段起效，不改地图碰撞</x:v>
      </x:c>
      <x:c r="O18" s="24" t="str">
        <x:v>枪械</x:v>
      </x:c>
      <x:c r="P18" s="24" t="str">
        <x:v>P0</x:v>
      </x:c>
      <x:c r="Q18" s="24" t="str">
        <x:v>地面反冲抑制便于守位但不适合跨越，1槽便宜、明确取舍。</x:v>
      </x:c>
      <x:c r="R18" s="24" t="str">
        <x:v>低</x:v>
      </x:c>
      <x:c r="S18" s="24" t="str">
        <x:v>机制已评审；数值建议待试玩</x:v>
      </x:c>
      <x:c r="T18" s="24" t="str">
        <x:v>为了击中钟心，有时必须先学会不后退。</x:v>
      </x:c>
      <x:c r="U18" s="24" t="str">
        <x:v>{"ground_recoil_multiplier":0.7}</x:v>
      </x:c>
      <x:c r="V18" s="24" t="str">
        <x:v>https://github.com/zhipijun1996/gunman-rush/blob/26e7f2a4459623f35613a857da8a75e89daa3e62/scripts/combat/weapon_definition.gd</x:v>
      </x:c>
      <x:c r="W18" s="24" t="n">
        <x:f>IF(OR(F18="",G18=""),"",G18-F18)</x:f>
        <x:v>0</x:v>
      </x:c>
      <x:c r="X18" s="24" t="n">
        <x:f>IF(OR(H18="",I18=""),"",I18-H18)</x:f>
        <x:v>-5</x:v>
      </x:c>
      <x:c r="Y18" s="24" t="n">
        <x:f>IFERROR(ROUND(I18/G18,1),"")</x:f>
        <x:v>22</x:v>
      </x:c>
      <x:c r="Z18" s="24" t="str">
        <x:v>数值候选</x:v>
      </x:c>
      <x:c r="AA18" s="24" t="str">
        <x:v>保留</x:v>
      </x:c>
      <x:c r="AB18" s="24" t="str">
        <x:v>设计候选；未声称已实装</x:v>
      </x:c>
    </x:row>
    <x:row r="19" ht="55" customHeight="1">
      <x:c r="A19" s="24" t="n">
        <x:v>18</x:v>
      </x:c>
      <x:c r="B19" s="24" t="str">
        <x:v>B08</x:v>
      </x:c>
      <x:c r="C19" s="24" t="str">
        <x:v>止滑钟靴</x:v>
      </x:c>
      <x:c r="D19" s="24" t="str">
        <x:v>蓝色</x:v>
      </x:c>
      <x:c r="E19" s="24" t="str">
        <x:v>移动/跳跃</x:v>
      </x:c>
      <x:c r="F19" s="24" t="n">
        <x:v>2</x:v>
      </x:c>
      <x:c r="G19" s="42" t="n">
        <x:v>2</x:v>
      </x:c>
      <x:c r="H19" s="24" t="n">
        <x:v>28</x:v>
      </x:c>
      <x:c r="I19" s="42" t="n">
        <x:v>24</x:v>
      </x:c>
      <x:c r="J19" s="24" t="str">
        <x:v>否</x:v>
      </x:c>
      <x:c r="K19" s="24" t="n">
        <x:v>1</x:v>
      </x:c>
      <x:c r="L19" s="24" t="str">
        <x:v>离开平台边缘后的土狼跳时间增加0.05秒（基础0.10→0.15秒），不改变奔跑惯性。</x:v>
      </x:c>
      <x:c r="M19" s="24" t="str">
        <x:v>地面松开移动</x:v>
      </x:c>
      <x:c r="N19" s="24" t="str">
        <x:v>不影响空中/强制位移，不作为主路必要能力</x:v>
      </x:c>
      <x:c r="O19" s="24" t="str">
        <x:v>无</x:v>
      </x:c>
      <x:c r="P19" s="24" t="str">
        <x:v>P1</x:v>
      </x:c>
      <x:c r="Q19" s="24" t="str">
        <x:v>原+30%地面减速对260速/19800减速几乎无效，已替换为土狼时间+0.05秒。</x:v>
      </x:c>
      <x:c r="R19" s="24" t="str">
        <x:v>低</x:v>
      </x:c>
      <x:c r="S19" s="24" t="str">
        <x:v>机制已评审；数值建议待试玩</x:v>
      </x:c>
      <x:c r="T19" s="24" t="str">
        <x:v>旧鞋底嵌着细齿，正好咬住碎裂的台阶。</x:v>
      </x:c>
      <x:c r="U19" s="24" t="str">
        <x:v>{"coyote_time_add_s":0.05}</x:v>
      </x:c>
      <x:c r="V19" s="24" t="str">
        <x:v>https://github.com/zhipijun1996/gunman-rush/blob/26e7f2a4459623f35613a857da8a75e89daa3e62/scripts/combat/weapon_definition.gd</x:v>
      </x:c>
      <x:c r="W19" s="24" t="n">
        <x:f>IF(OR(F19="",G19=""),"",G19-F19)</x:f>
        <x:v>0</x:v>
      </x:c>
      <x:c r="X19" s="24" t="n">
        <x:f>IF(OR(H19="",I19=""),"",I19-H19)</x:f>
        <x:v>-4</x:v>
      </x:c>
      <x:c r="Y19" s="24" t="n">
        <x:f>IFERROR(ROUND(I19/G19,1),"")</x:f>
        <x:v>12</x:v>
      </x:c>
      <x:c r="Z19" s="24" t="str">
        <x:v>物理：需真实轨迹</x:v>
      </x:c>
      <x:c r="AA19" s="24" t="str">
        <x:v>修改</x:v>
      </x:c>
      <x:c r="AB19" s="24" t="str">
        <x:v>设计候选；未声称已实装</x:v>
      </x:c>
    </x:row>
    <x:row r="20" ht="55" customHeight="1">
      <x:c r="A20" s="24" t="n">
        <x:v>19</x:v>
      </x:c>
      <x:c r="B20" s="24" t="str">
        <x:v>B23</x:v>
      </x:c>
      <x:c r="C20" s="24" t="str">
        <x:v>尾摆齿环</x:v>
      </x:c>
      <x:c r="D20" s="24" t="str">
        <x:v>蓝色</x:v>
      </x:c>
      <x:c r="E20" s="24" t="str">
        <x:v>动作 / 机动</x:v>
      </x:c>
      <x:c r="F20" s="24" t="n">
        <x:v>2</x:v>
      </x:c>
      <x:c r="G20" s="42" t="n">
        <x:v>2</x:v>
      </x:c>
      <x:c r="H20" s="24" t="n">
        <x:v>36</x:v>
      </x:c>
      <x:c r="I20" s="42" t="n">
        <x:v>31</x:v>
      </x:c>
      <x:c r="J20" s="24" t="str">
        <x:v>否</x:v>
      </x:c>
      <x:c r="K20" s="24" t="n">
        <x:v>1</x:v>
      </x:c>
      <x:c r="L20" s="24" t="str">
        <x:v>反冲终点生成0.6秒小齿环，接触敌人造成0.40D；6秒内部冷却。</x:v>
      </x:c>
      <x:c r="M20" s="24" t="str">
        <x:v>有效反冲运动结束</x:v>
      </x:c>
      <x:c r="N20" s="24" t="str">
        <x:v>不追加冲量；同敌一次；副伤不回能</x:v>
      </x:c>
      <x:c r="O20" s="24" t="str">
        <x:v>有反冲能力</x:v>
      </x:c>
      <x:c r="P20" s="24" t="str">
        <x:v>P2</x:v>
      </x:c>
      <x:c r="Q20" s="24" t="str">
        <x:v>反冲终点自动环不额外位移，条件苛刻，价格31更贴合触发率。</x:v>
      </x:c>
      <x:c r="R20" s="24" t="str">
        <x:v>低</x:v>
      </x:c>
      <x:c r="S20" s="24" t="str">
        <x:v>机制已评审；数值建议待试玩</x:v>
      </x:c>
      <x:c r="T20" s="24" t="str">
        <x:v>那些没有被钟声带走的惯性，终究落成一圈回纹。</x:v>
      </x:c>
      <x:c r="U20" s="24" t="str">
        <x:v>{"damage_ratio_D":0.4,"effect_duration_s":0.6,"radius_px":52}</x:v>
      </x:c>
      <x:c r="V20" s="24" t="str">
        <x:v>https://github.com/zhipijun1996/gunman-rush/blob/26e7f2a4459623f35613a857da8a75e89daa3e62/scripts/combat/weapon_definition.gd</x:v>
      </x:c>
      <x:c r="W20" s="24" t="n">
        <x:f>IF(OR(F20="",G20=""),"",G20-F20)</x:f>
        <x:v>0</x:v>
      </x:c>
      <x:c r="X20" s="24" t="n">
        <x:f>IF(OR(H20="",I20=""),"",I20-H20)</x:f>
        <x:v>-5</x:v>
      </x:c>
      <x:c r="Y20" s="24" t="n">
        <x:f>IFERROR(ROUND(I20/G20,1),"")</x:f>
        <x:v>15.5</x:v>
      </x:c>
      <x:c r="Z20" s="24" t="str">
        <x:v>数值候选</x:v>
      </x:c>
      <x:c r="AA20" s="24" t="str">
        <x:v>保留</x:v>
      </x:c>
      <x:c r="AB20" s="24" t="str">
        <x:v>设计候选；未声称已实装</x:v>
      </x:c>
    </x:row>
    <x:row r="21" ht="55" customHeight="1">
      <x:c r="A21" s="24" t="n">
        <x:v>20</x:v>
      </x:c>
      <x:c r="B21" s="24" t="str">
        <x:v>B28</x:v>
      </x:c>
      <x:c r="C21" s="24" t="str">
        <x:v>逐风鞋簧</x:v>
      </x:c>
      <x:c r="D21" s="24" t="str">
        <x:v>蓝色</x:v>
      </x:c>
      <x:c r="E21" s="24" t="str">
        <x:v>移动/跳跃</x:v>
      </x:c>
      <x:c r="F21" s="24" t="n">
        <x:v>3</x:v>
      </x:c>
      <x:c r="G21" s="42" t="n">
        <x:v>2</x:v>
      </x:c>
      <x:c r="H21" s="24" t="n">
        <x:v>31</x:v>
      </x:c>
      <x:c r="I21" s="42" t="n">
        <x:v>26</x:v>
      </x:c>
      <x:c r="J21" s="24" t="str">
        <x:v>否</x:v>
      </x:c>
      <x:c r="K21" s="24" t="n">
        <x:v>1</x:v>
      </x:c>
      <x:c r="L21" s="24" t="str">
        <x:v>地面普通跑动速度×1.05（260→273），不改变反冲或钩索位移。</x:v>
      </x:c>
      <x:c r="M21" s="24" t="str">
        <x:v>地面正常跑动</x:v>
      </x:c>
      <x:c r="N21" s="24" t="str">
        <x:v>不增加反冲位移、飞行、跳跃次数；可选路线专用</x:v>
      </x:c>
      <x:c r="O21" s="24" t="str">
        <x:v>无</x:v>
      </x:c>
      <x:c r="P21" s="24" t="str">
        <x:v>P3</x:v>
      </x:c>
      <x:c r="Q21" s="24" t="str">
        <x:v>跑速+5%可能破坏部分精密关卡手感，改2槽仍需真实轨迹回归。</x:v>
      </x:c>
      <x:c r="R21" s="24" t="str">
        <x:v>低</x:v>
      </x:c>
      <x:c r="S21" s="24" t="str">
        <x:v>机制已评审；数值建议待试玩</x:v>
      </x:c>
      <x:c r="T21" s="24" t="str">
        <x:v>有人为了赶上春天，把钟表发条装进了鞋跟。</x:v>
      </x:c>
      <x:c r="U21" s="24" t="str">
        <x:v>{"run_speed_multiplier":1.05}</x:v>
      </x:c>
      <x:c r="V21" s="24" t="str">
        <x:v>https://github.com/zhipijun1996/gunman-rush/blob/26e7f2a4459623f35613a857da8a75e89daa3e62/scripts/combat/weapon_definition.gd</x:v>
      </x:c>
      <x:c r="W21" s="24" t="n">
        <x:f>IF(OR(F21="",G21=""),"",G21-F21)</x:f>
        <x:v>-1</x:v>
      </x:c>
      <x:c r="X21" s="24" t="n">
        <x:f>IF(OR(H21="",I21=""),"",I21-H21)</x:f>
        <x:v>-5</x:v>
      </x:c>
      <x:c r="Y21" s="24" t="n">
        <x:f>IFERROR(ROUND(I21/G21,1),"")</x:f>
        <x:v>13</x:v>
      </x:c>
      <x:c r="Z21" s="24" t="str">
        <x:v>物理：需真实轨迹</x:v>
      </x:c>
      <x:c r="AA21" s="24" t="str">
        <x:v>修改</x:v>
      </x:c>
      <x:c r="AB21" s="24" t="str">
        <x:v>设计候选；未声称已实装</x:v>
      </x:c>
    </x:row>
    <x:row r="22" ht="55" customHeight="1">
      <x:c r="A22" s="24" t="n">
        <x:v>21</x:v>
      </x:c>
      <x:c r="B22" s="24" t="str">
        <x:v>P12</x:v>
      </x:c>
      <x:c r="C22" s="24" t="str">
        <x:v>刃影回纹</x:v>
      </x:c>
      <x:c r="D22" s="24" t="str">
        <x:v>紫色</x:v>
      </x:c>
      <x:c r="E22" s="24" t="str">
        <x:v>动作 / 机动</x:v>
      </x:c>
      <x:c r="F22" s="24" t="n">
        <x:v>3</x:v>
      </x:c>
      <x:c r="G22" s="42" t="n">
        <x:v>3</x:v>
      </x:c>
      <x:c r="H22" s="24" t="n">
        <x:v>70</x:v>
      </x:c>
      <x:c r="I22" s="42" t="n">
        <x:v>55</x:v>
      </x:c>
      <x:c r="J22" s="24" t="str">
        <x:v>否</x:v>
      </x:c>
      <x:c r="K22" s="24" t="n">
        <x:v>1</x:v>
      </x:c>
      <x:c r="L22" s="24" t="str">
        <x:v>沿实际运动轨迹对接触目标造成0.25D</x:v>
      </x:c>
      <x:c r="M22" s="24" t="str">
        <x:v>产生真实反冲位移</x:v>
      </x:c>
      <x:c r="N22" s="24" t="str">
        <x:v>同敌每次反冲仅一次、每敌2秒内CD；不加速不穿墙</x:v>
      </x:c>
      <x:c r="O22" s="24" t="str">
        <x:v>有反冲能力</x:v>
      </x:c>
      <x:c r="P22" s="24" t="str">
        <x:v>P1</x:v>
      </x:c>
      <x:c r="Q22" s="24" t="str">
        <x:v>移动轨迹擦敌才造成0.25D，面对荆棘与远程怪风险高，价格55。</x:v>
      </x:c>
      <x:c r="R22" s="24" t="str">
        <x:v>低</x:v>
      </x:c>
      <x:c r="S22" s="24" t="str">
        <x:v>机制已评审；数值建议待试玩</x:v>
      </x:c>
      <x:c r="T22" s="24" t="str">
        <x:v>他们追不上钟声，于是学着把刀锋藏进风里。</x:v>
      </x:c>
      <x:c r="U22" s="24" t="str">
        <x:v>{"path_contact_damage_ratio_D":0.25,"contact_width_px":32}</x:v>
      </x:c>
      <x:c r="V22" s="24" t="str">
        <x:v>https://github.com/zhipijun1996/gunman-rush/blob/26e7f2a4459623f35613a857da8a75e89daa3e62/scripts/combat/weapon_definition.gd</x:v>
      </x:c>
      <x:c r="W22" s="24" t="n">
        <x:f>IF(OR(F22="",G22=""),"",G22-F22)</x:f>
        <x:v>0</x:v>
      </x:c>
      <x:c r="X22" s="24" t="n">
        <x:f>IF(OR(H22="",I22=""),"",I22-H22)</x:f>
        <x:v>-15</x:v>
      </x:c>
      <x:c r="Y22" s="24" t="n">
        <x:f>IFERROR(ROUND(I22/G22,1),"")</x:f>
        <x:v>18.3</x:v>
      </x:c>
      <x:c r="Z22" s="24" t="str">
        <x:v>数值候选</x:v>
      </x:c>
      <x:c r="AA22" s="24" t="str">
        <x:v>保留</x:v>
      </x:c>
      <x:c r="AB22" s="24" t="str">
        <x:v>设计候选；未声称已实装</x:v>
      </x:c>
    </x:row>
    <x:row r="23" ht="55" customHeight="1">
      <x:c r="A23" s="24" t="n">
        <x:v>23</x:v>
      </x:c>
      <x:c r="B23" s="24" t="str">
        <x:v>G01</x:v>
      </x:c>
      <x:c r="C23" s="24" t="str">
        <x:v>微核回响</x:v>
      </x:c>
      <x:c r="D23" s="24" t="str">
        <x:v>金色</x:v>
      </x:c>
      <x:c r="E23" s="24" t="str">
        <x:v>动作 / 机动</x:v>
      </x:c>
      <x:c r="F23" s="24" t="n">
        <x:v>1</x:v>
      </x:c>
      <x:c r="G23" s="42" t="n">
        <x:v>1</x:v>
      </x:c>
      <x:c r="H23" s="24" t="n">
        <x:v>124</x:v>
      </x:c>
      <x:c r="I23" s="42" t="n">
        <x:v>78</x:v>
      </x:c>
      <x:c r="J23" s="24" t="str">
        <x:v>否</x:v>
      </x:c>
      <x:c r="K23" s="24" t="n">
        <x:v>1</x:v>
      </x:c>
      <x:c r="L23" s="24" t="str">
        <x:v>空中主攻施加回响标记，下次不同攻击包命中引爆0.65D；同目标7秒内置冷却。</x:v>
      </x:c>
      <x:c r="M23" s="24" t="str">
        <x:v>腾空时首次主攻有效命中</x:v>
      </x:c>
      <x:c r="N23" s="24" t="str">
        <x:v>每目标冷却；本印记并非Lv2坍缩奇点，不生成物理奇点</x:v>
      </x:c>
      <x:c r="O23" s="24" t="str">
        <x:v>任意攻击武器</x:v>
      </x:c>
      <x:c r="P23" s="24" t="str">
        <x:v>P1</x:v>
      </x:c>
      <x:c r="Q23" s="24" t="str">
        <x:v>1槽金装命中标记后需再次命中引爆0.65D，单Boss增伤受6秒冷却制约。</x:v>
      </x:c>
      <x:c r="R23" s="24" t="str">
        <x:v>低</x:v>
      </x:c>
      <x:c r="S23" s="24" t="str">
        <x:v>机制已评审；数值建议待试玩</x:v>
      </x:c>
      <x:c r="T23" s="24" t="str">
        <x:v>世界之钟破碎的那刻，万千回声缩成一粒光。</x:v>
      </x:c>
      <x:c r="U23" s="24" t="str">
        <x:v>{"mark_duration_s":5,"detonation_damage_ratio_D":0.65,"target_cooldown_s":6}</x:v>
      </x:c>
      <x:c r="V23" s="24" t="str">
        <x:v>https://github.com/zhipijun1996/gunman-rush/blob/26e7f2a4459623f35613a857da8a75e89daa3e62/scripts/combat/weapon_definition.gd</x:v>
      </x:c>
      <x:c r="W23" s="24" t="n">
        <x:f>IF(OR(F23="",G23=""),"",G23-F23)</x:f>
        <x:v>0</x:v>
      </x:c>
      <x:c r="X23" s="24" t="n">
        <x:f>IF(OR(H23="",I23=""),"",I23-H23)</x:f>
        <x:v>-46</x:v>
      </x:c>
      <x:c r="Y23" s="24" t="n">
        <x:f>IFERROR(ROUND(I23/G23,1),"")</x:f>
        <x:v>78</x:v>
      </x:c>
      <x:c r="Z23" s="24" t="str">
        <x:v>数值候选</x:v>
      </x:c>
      <x:c r="AA23" s="24" t="str">
        <x:v>保留</x:v>
      </x:c>
      <x:c r="AB23" s="24" t="str">
        <x:v>设计候选；未声称已实装</x:v>
      </x:c>
    </x:row>
    <x:row r="24" ht="55" customHeight="1">
      <x:c r="A24" s="24" t="n">
        <x:v>24</x:v>
      </x:c>
      <x:c r="B24" s="24" t="str">
        <x:v>B19</x:v>
      </x:c>
      <x:c r="C24" s="24" t="str">
        <x:v>梦读铭片</x:v>
      </x:c>
      <x:c r="D24" s="24" t="str">
        <x:v>蓝色</x:v>
      </x:c>
      <x:c r="E24" s="24" t="str">
        <x:v>钩索/标记</x:v>
      </x:c>
      <x:c r="F24" s="24" t="n">
        <x:v>2</x:v>
      </x:c>
      <x:c r="G24" s="42" t="n">
        <x:v>2</x:v>
      </x:c>
      <x:c r="H24" s="24" t="n">
        <x:v>32</x:v>
      </x:c>
      <x:c r="I24" s="42" t="n">
        <x:v>25</x:v>
      </x:c>
      <x:c r="J24" s="24" t="str">
        <x:v>否</x:v>
      </x:c>
      <x:c r="K24" s="24" t="n">
        <x:v>1</x:v>
      </x:c>
      <x:c r="L24" s="24" t="str">
        <x:v>钩索有效命中敌人额外获得2点战斗能量，受单攻击包12点上限约束。</x:v>
      </x:c>
      <x:c r="M24" s="24" t="str">
        <x:v>钩索标记敌人后首次主攻命中</x:v>
      </x:c>
      <x:c r="N24" s="24" t="str">
        <x:v>每目标独立冷却；无法用地形钩中刷</x:v>
      </x:c>
      <x:c r="O24" s="24" t="str">
        <x:v>钩索已解锁</x:v>
      </x:c>
      <x:c r="P24" s="24" t="str">
        <x:v>P2</x:v>
      </x:c>
      <x:c r="Q24" s="24" t="str">
        <x:v>钩索命中额外+2共鸣通常不多，且触发受能力锁限制，低价。</x:v>
      </x:c>
      <x:c r="R24" s="24" t="str">
        <x:v>低</x:v>
      </x:c>
      <x:c r="S24" s="24" t="str">
        <x:v>机制已评审；数值建议待试玩</x:v>
      </x:c>
      <x:c r="T24" s="24" t="str">
        <x:v>钟匠读不懂梦，只把梦钉进一枚金属铭片。</x:v>
      </x:c>
      <x:c r="U24" s="24" t="str">
        <x:v>{"extra_combat_energy_on_hook_hit":2,"mark_duration_s":4}</x:v>
      </x:c>
      <x:c r="V24" s="24" t="str">
        <x:v>https://github.com/zhipijun1996/gunman-rush/blob/26e7f2a4459623f35613a857da8a75e89daa3e62/scripts/resources/state/combat_energy_state.gd</x:v>
      </x:c>
      <x:c r="W24" s="24" t="n">
        <x:f>IF(OR(F24="",G24=""),"",G24-F24)</x:f>
        <x:v>0</x:v>
      </x:c>
      <x:c r="X24" s="24" t="n">
        <x:f>IF(OR(H24="",I24=""),"",I24-H24)</x:f>
        <x:v>-7</x:v>
      </x:c>
      <x:c r="Y24" s="24" t="n">
        <x:f>IFERROR(ROUND(I24/G24,1),"")</x:f>
        <x:v>12.5</x:v>
      </x:c>
      <x:c r="Z24" s="24" t="str">
        <x:v>数值候选</x:v>
      </x:c>
      <x:c r="AA24" s="24" t="str">
        <x:v>保留</x:v>
      </x:c>
      <x:c r="AB24" s="24" t="str">
        <x:v>设计候选；未声称已实装</x:v>
      </x:c>
    </x:row>
    <x:row r="25" ht="55" customHeight="1">
      <x:c r="A25" s="24" t="n">
        <x:v>25</x:v>
      </x:c>
      <x:c r="B25" s="24" t="str">
        <x:v>B21</x:v>
      </x:c>
      <x:c r="C25" s="24" t="str">
        <x:v>长索绕轮</x:v>
      </x:c>
      <x:c r="D25" s="24" t="str">
        <x:v>蓝色</x:v>
      </x:c>
      <x:c r="E25" s="24" t="str">
        <x:v>钩索</x:v>
      </x:c>
      <x:c r="F25" s="24" t="n">
        <x:v>4</x:v>
      </x:c>
      <x:c r="G25" s="42" t="n">
        <x:v>4</x:v>
      </x:c>
      <x:c r="H25" s="24" t="n">
        <x:v>33</x:v>
      </x:c>
      <x:c r="I25" s="42" t="n">
        <x:v>27</x:v>
      </x:c>
      <x:c r="J25" s="24" t="str">
        <x:v>是</x:v>
      </x:c>
      <x:c r="K25" s="24" t="n">
        <x:v>3</x:v>
      </x:c>
      <x:c r="L25" s="24" t="str">
        <x:v>Lv1/2/3 钩索有效距离×1.15/1.25/1.35；地图主线可达性仍以无该道具验证。</x:v>
      </x:c>
      <x:c r="M25" s="24" t="str">
        <x:v>钩索释放</x:v>
      </x:c>
      <x:c r="N25" s="24" t="str">
        <x:v>不允许作为地图必要路线的唯一通关能力；同名重复获取只升等级不额外占槽，满级不再进入奖励池</x:v>
      </x:c>
      <x:c r="O25" s="24" t="str">
        <x:v>钩索已解锁</x:v>
      </x:c>
      <x:c r="P25" s="24" t="str">
        <x:v>P2</x:v>
      </x:c>
      <x:c r="Q25" s="24" t="str">
        <x:v>4槽仅加钩索距离，Lv3才显著；价格下降，主线不得强制依赖。</x:v>
      </x:c>
      <x:c r="R25" s="24" t="str">
        <x:v>低</x:v>
      </x:c>
      <x:c r="S25" s="24" t="str">
        <x:v>机制已评审；数值建议待试玩</x:v>
      </x:c>
      <x:c r="T25" s="24" t="str">
        <x:v>老绞盘的绳子很长，却牵不回已经失去的人。</x:v>
      </x:c>
      <x:c r="U25" s="24" t="str">
        <x:v>{"hook_range_multiplier_by_level":[1.15,1.25,1.35]}</x:v>
      </x:c>
      <x:c r="V25" s="24" t="str">
        <x:v>https://github.com/zhipijun1996/gunman-rush/blob/26e7f2a4459623f35613a857da8a75e89daa3e62/resources/player/traversal.tres</x:v>
      </x:c>
      <x:c r="W25" s="24" t="n">
        <x:f>IF(OR(F25="",G25=""),"",G25-F25)</x:f>
        <x:v>0</x:v>
      </x:c>
      <x:c r="X25" s="24" t="n">
        <x:f>IF(OR(H25="",I25=""),"",I25-H25)</x:f>
        <x:v>-6</x:v>
      </x:c>
      <x:c r="Y25" s="24" t="n">
        <x:f>IFERROR(ROUND(I25/G25,1),"")</x:f>
        <x:v>6.8</x:v>
      </x:c>
      <x:c r="Z25" s="24" t="str">
        <x:v>物理：需真实轨迹</x:v>
      </x:c>
      <x:c r="AA25" s="24" t="str">
        <x:v>修改</x:v>
      </x:c>
      <x:c r="AB25" s="24" t="str">
        <x:v>设计候选；未声称已实装</x:v>
      </x:c>
    </x:row>
    <x:row r="26" ht="55" customHeight="1">
      <x:c r="A26" s="24" t="n">
        <x:v>26</x:v>
      </x:c>
      <x:c r="B26" s="24" t="str">
        <x:v>P13</x:v>
      </x:c>
      <x:c r="C26" s="24" t="str">
        <x:v>追索徽记</x:v>
      </x:c>
      <x:c r="D26" s="24" t="str">
        <x:v>紫色</x:v>
      </x:c>
      <x:c r="E26" s="24" t="str">
        <x:v>钩索/标记</x:v>
      </x:c>
      <x:c r="F26" s="24" t="n">
        <x:v>2</x:v>
      </x:c>
      <x:c r="G26" s="42" t="n">
        <x:v>2</x:v>
      </x:c>
      <x:c r="H26" s="24" t="n">
        <x:v>65</x:v>
      </x:c>
      <x:c r="I26" s="42" t="n">
        <x:v>46</x:v>
      </x:c>
      <x:c r="J26" s="24" t="str">
        <x:v>否</x:v>
      </x:c>
      <x:c r="K26" s="24" t="n">
        <x:v>1</x:v>
      </x:c>
      <x:c r="L26" s="24" t="str">
        <x:v>施加4秒追索标记，对其主攻直伤×1.20</x:v>
      </x:c>
      <x:c r="M26" s="24" t="str">
        <x:v>钩索成功接触敌人</x:v>
      </x:c>
      <x:c r="N26" s="24" t="str">
        <x:v>标记不可无限叠层；副伤/召唤另行定义</x:v>
      </x:c>
      <x:c r="O26" s="24" t="str">
        <x:v>钩索已解锁</x:v>
      </x:c>
      <x:c r="P26" s="24" t="str">
        <x:v>P2</x:v>
      </x:c>
      <x:c r="Q26" s="24" t="str">
        <x:v>钩索接触目标才有4秒+20%主攻加成，适合标记Boss但仍尊重护甲。</x:v>
      </x:c>
      <x:c r="R26" s="24" t="str">
        <x:v>低</x:v>
      </x:c>
      <x:c r="S26" s="24" t="str">
        <x:v>机制已评审；数值建议待试玩</x:v>
      </x:c>
      <x:c r="T26" s="24" t="str">
        <x:v>旧修缮者的名字，刻在能找回迷失目标的细钩上。</x:v>
      </x:c>
      <x:c r="U26" s="24" t="str">
        <x:v>{"mark_duration_s":4,"marked_primary_damage_multiplier":1.2}</x:v>
      </x:c>
      <x:c r="V26" s="24" t="str">
        <x:v>https://github.com/zhipijun1996/gunman-rush/blob/26e7f2a4459623f35613a857da8a75e89daa3e62/resources/player/traversal.tres</x:v>
      </x:c>
      <x:c r="W26" s="24" t="n">
        <x:f>IF(OR(F26="",G26=""),"",G26-F26)</x:f>
        <x:v>0</x:v>
      </x:c>
      <x:c r="X26" s="24" t="n">
        <x:f>IF(OR(H26="",I26=""),"",I26-H26)</x:f>
        <x:v>-19</x:v>
      </x:c>
      <x:c r="Y26" s="24" t="n">
        <x:f>IFERROR(ROUND(I26/G26,1),"")</x:f>
        <x:v>23</x:v>
      </x:c>
      <x:c r="Z26" s="24" t="str">
        <x:v>数值候选</x:v>
      </x:c>
      <x:c r="AA26" s="24" t="str">
        <x:v>保留</x:v>
      </x:c>
      <x:c r="AB26" s="24" t="str">
        <x:v>设计候选；未声称已实装</x:v>
      </x:c>
    </x:row>
    <x:row r="27" ht="55" customHeight="1">
      <x:c r="A27" s="24" t="n">
        <x:v>27</x:v>
      </x:c>
      <x:c r="B27" s="24" t="str">
        <x:v>P29</x:v>
      </x:c>
      <x:c r="C27" s="24" t="str">
        <x:v>雷丝引线</x:v>
      </x:c>
      <x:c r="D27" s="24" t="str">
        <x:v>紫色</x:v>
      </x:c>
      <x:c r="E27" s="24" t="str">
        <x:v>命中连锁</x:v>
      </x:c>
      <x:c r="F27" s="24" t="n">
        <x:v>2</x:v>
      </x:c>
      <x:c r="G27" s="42" t="n">
        <x:v>2</x:v>
      </x:c>
      <x:c r="H27" s="24" t="n">
        <x:v>67</x:v>
      </x:c>
      <x:c r="I27" s="42" t="n">
        <x:v>54</x:v>
      </x:c>
      <x:c r="J27" s="24" t="str">
        <x:v>是</x:v>
      </x:c>
      <x:c r="K27" s="24" t="n">
        <x:v>3</x:v>
      </x:c>
      <x:c r="L27" s="24" t="str">
        <x:v>所有玩家主动攻击合法命中触发连锁电击；Lv1额外1目标×0.30D，Lv2额外2目标×0.30D，Lv3额外2目标×0.45D，半径120，CD1.5秒。</x:v>
      </x:c>
      <x:c r="M27" s="24" t="str">
        <x:v>主弹命中钩索标记的敌人</x:v>
      </x:c>
      <x:c r="N27" s="24" t="str">
        <x:v>传导不回能；不穿封闭地形；同名重复获取只升等级不额外占槽，满级不再进入奖励池</x:v>
      </x:c>
      <x:c r="O27" s="24" t="str">
        <x:v>钩索已解锁</x:v>
      </x:c>
      <x:c r="P27" s="24" t="str">
        <x:v>P2</x:v>
      </x:c>
      <x:c r="Q27" s="24" t="str">
        <x:v>通用电链最多两目标、1.5秒冷却，Lv3额外0.45D；54金+2槽比较强。</x:v>
      </x:c>
      <x:c r="R27" s="24" t="str">
        <x:v>高</x:v>
      </x:c>
      <x:c r="S27" s="24" t="str">
        <x:v>机制已评审；数值建议待试玩</x:v>
      </x:c>
      <x:c r="T27" s="24" t="str">
        <x:v>从一座停摆的钟塔牵出的丝线，仍有闪电走过。</x:v>
      </x:c>
      <x:c r="U27" s="24" t="str">
        <x:v>{"chain_targets_by_level":[1,2,2],"chain_damage_ratio_D_by_level":[0.3,0.3,0.45],"chain_radius_px":120,"cooldown_s":1.5}</x:v>
      </x:c>
      <x:c r="V27" s="24" t="str">
        <x:v>https://github.com/zhipijun1996/gunman-rush/blob/26e7f2a4459623f35613a857da8a75e89daa3e62/resources/player/traversal.tres</x:v>
      </x:c>
      <x:c r="W27" s="24" t="n">
        <x:f>IF(OR(F27="",G27=""),"",G27-F27)</x:f>
        <x:v>0</x:v>
      </x:c>
      <x:c r="X27" s="24" t="n">
        <x:f>IF(OR(H27="",I27=""),"",I27-H27)</x:f>
        <x:v>-13</x:v>
      </x:c>
      <x:c r="Y27" s="24" t="n">
        <x:f>IFERROR(ROUND(I27/G27,1),"")</x:f>
        <x:v>27</x:v>
      </x:c>
      <x:c r="Z27" s="24" t="str">
        <x:v>强机制：需整图实测</x:v>
      </x:c>
      <x:c r="AA27" s="24" t="str">
        <x:v>修改</x:v>
      </x:c>
      <x:c r="AB27" s="24" t="str">
        <x:v>设计候选；未声称已实装</x:v>
      </x:c>
    </x:row>
    <x:row r="28" ht="55" customHeight="1">
      <x:c r="A28" s="24" t="n">
        <x:v>29</x:v>
      </x:c>
      <x:c r="B28" s="24" t="str">
        <x:v>B04</x:v>
      </x:c>
      <x:c r="C28" s="24" t="str">
        <x:v>省力扳簧</x:v>
      </x:c>
      <x:c r="D28" s="24" t="str">
        <x:v>蓝色</x:v>
      </x:c>
      <x:c r="E28" s="24" t="str">
        <x:v>时间能量</x:v>
      </x:c>
      <x:c r="F28" s="24" t="n">
        <x:v>1</x:v>
      </x:c>
      <x:c r="G28" s="42" t="n">
        <x:v>1</x:v>
      </x:c>
      <x:c r="H28" s="24" t="n">
        <x:v>30</x:v>
      </x:c>
      <x:c r="I28" s="42" t="n">
        <x:v>30</x:v>
      </x:c>
      <x:c r="J28" s="24" t="str">
        <x:v>是</x:v>
      </x:c>
      <x:c r="K28" s="24" t="n">
        <x:v>3</x:v>
      </x:c>
      <x:c r="L28" s="24" t="str">
        <x:v>Lv1/2/3 空中枪械与钩索瞄准的时间能量消耗降低18%/28%/38%；开枪不扣时间能量。</x:v>
      </x:c>
      <x:c r="M28" s="24" t="str">
        <x:v>合法发射</x:v>
      </x:c>
      <x:c r="N28" s="24" t="str">
        <x:v>时间能量慢时消耗下限由当前资源策略校验；射击本身不消耗时间能量；同名重复获取只升等级不额外占槽，满级不再进入奖励池</x:v>
      </x:c>
      <x:c r="O28" s="24" t="str">
        <x:v>任意射击武器</x:v>
      </x:c>
      <x:c r="P28" s="24" t="str">
        <x:v>P0</x:v>
      </x:c>
      <x:c r="Q28" s="24" t="str">
        <x:v>1槽三级减耗38%非常强，但不延长2秒慢时，靠重复获取限制上限。</x:v>
      </x:c>
      <x:c r="R28" s="24" t="str">
        <x:v>低</x:v>
      </x:c>
      <x:c r="S28" s="24" t="str">
        <x:v>机制已评审；数值建议待试玩</x:v>
      </x:c>
      <x:c r="T28" s="24" t="str">
        <x:v>疲惫的手指，也能让失序的钟针再次前进。</x:v>
      </x:c>
      <x:c r="U28" s="24" t="str">
        <x:v>{"focus_stamina_drain_multiplier_by_level":[0.82,0.72,0.62]}</x:v>
      </x:c>
      <x:c r="V28" s="24" t="str">
        <x:v>https://github.com/zhipijun1996/gunman-rush/blob/26e7f2a4459623f35613a857da8a75e89daa3e62/resources/player/demo_ui_01/time_energy_v2.tres</x:v>
      </x:c>
      <x:c r="W28" s="24" t="n">
        <x:f>IF(OR(F28="",G28=""),"",G28-F28)</x:f>
        <x:v>0</x:v>
      </x:c>
      <x:c r="X28" s="24" t="n">
        <x:f>IF(OR(H28="",I28=""),"",I28-H28)</x:f>
        <x:v>0</x:v>
      </x:c>
      <x:c r="Y28" s="24" t="n">
        <x:f>IFERROR(ROUND(I28/G28,1),"")</x:f>
        <x:v>30</x:v>
      </x:c>
      <x:c r="Z28" s="24" t="str">
        <x:v>数值候选</x:v>
      </x:c>
      <x:c r="AA28" s="24" t="str">
        <x:v>修改</x:v>
      </x:c>
      <x:c r="AB28" s="24" t="str">
        <x:v>设计候选；未声称已实装</x:v>
      </x:c>
    </x:row>
    <x:row r="29" ht="55" customHeight="1">
      <x:c r="A29" s="24" t="n">
        <x:v>30</x:v>
      </x:c>
      <x:c r="B29" s="24" t="str">
        <x:v>P04</x:v>
      </x:c>
      <x:c r="C29" s="24" t="str">
        <x:v>悬空回响</x:v>
      </x:c>
      <x:c r="D29" s="24" t="str">
        <x:v>紫色</x:v>
      </x:c>
      <x:c r="E29" s="24" t="str">
        <x:v>其他 / 通用</x:v>
      </x:c>
      <x:c r="F29" s="24" t="n">
        <x:v>2</x:v>
      </x:c>
      <x:c r="G29" s="42" t="n">
        <x:v>2</x:v>
      </x:c>
      <x:c r="H29" s="24" t="n">
        <x:v>60</x:v>
      </x:c>
      <x:c r="I29" s="42" t="n">
        <x:v>45</x:v>
      </x:c>
      <x:c r="J29" s="24" t="str">
        <x:v>否</x:v>
      </x:c>
      <x:c r="K29" s="24" t="n">
        <x:v>1</x:v>
      </x:c>
      <x:c r="L29" s="24" t="str">
        <x:v>空中主攻命中后1.5秒内下一次主攻直伤×1.18，单次触发和消费。</x:v>
      </x:c>
      <x:c r="M29" s="24" t="str">
        <x:v>腾空中有效主攻命中</x:v>
      </x:c>
      <x:c r="N29" s="24" t="str">
        <x:v>不可自我刷新成永久；同次命中最多生成一次</x:v>
      </x:c>
      <x:c r="O29" s="24" t="str">
        <x:v>任意攻击武器</x:v>
      </x:c>
      <x:c r="P29" s="24" t="str">
        <x:v>P1</x:v>
      </x:c>
      <x:c r="Q29" s="24" t="str">
        <x:v>空中先命中再下一击+18%，基础1发空中限制实际续射困难，定价45。</x:v>
      </x:c>
      <x:c r="R29" s="24" t="str">
        <x:v>低</x:v>
      </x:c>
      <x:c r="S29" s="24" t="str">
        <x:v>机制已评审；数值建议待试玩</x:v>
      </x:c>
      <x:c r="T29" s="24" t="str">
        <x:v>脚下没有土地时，旧钟会给你另一次回答。</x:v>
      </x:c>
      <x:c r="U29" s="24" t="str">
        <x:v>{"next_primary_multiplier":1.18,"buff_window_s":1.5}</x:v>
      </x:c>
      <x:c r="V29" s="24" t="str">
        <x:v>https://github.com/zhipijun1996/gunman-rush/blob/26e7f2a4459623f35613a857da8a75e89daa3e62/scripts/combat/weapon_definition.gd</x:v>
      </x:c>
      <x:c r="W29" s="24" t="n">
        <x:f>IF(OR(F29="",G29=""),"",G29-F29)</x:f>
        <x:v>0</x:v>
      </x:c>
      <x:c r="X29" s="24" t="n">
        <x:f>IF(OR(H29="",I29=""),"",I29-H29)</x:f>
        <x:v>-15</x:v>
      </x:c>
      <x:c r="Y29" s="24" t="n">
        <x:f>IFERROR(ROUND(I29/G29,1),"")</x:f>
        <x:v>22.5</x:v>
      </x:c>
      <x:c r="Z29" s="24" t="str">
        <x:v>数值候选</x:v>
      </x:c>
      <x:c r="AA29" s="24" t="str">
        <x:v>保留</x:v>
      </x:c>
      <x:c r="AB29" s="24" t="str">
        <x:v>设计候选；未声称已实装</x:v>
      </x:c>
    </x:row>
    <x:row r="30" ht="55" customHeight="1">
      <x:c r="A30" s="24" t="n">
        <x:v>31</x:v>
      </x:c>
      <x:c r="B30" s="24" t="str">
        <x:v>B06</x:v>
      </x:c>
      <x:c r="C30" s="24" t="str">
        <x:v>回声小匣</x:v>
      </x:c>
      <x:c r="D30" s="24" t="str">
        <x:v>蓝色</x:v>
      </x:c>
      <x:c r="E30" s="24" t="str">
        <x:v>时间能量</x:v>
      </x:c>
      <x:c r="F30" s="24" t="n">
        <x:v>2</x:v>
      </x:c>
      <x:c r="G30" s="42" t="n">
        <x:v>2</x:v>
      </x:c>
      <x:c r="H30" s="24" t="n">
        <x:v>34</x:v>
      </x:c>
      <x:c r="I30" s="42" t="n">
        <x:v>32</x:v>
      </x:c>
      <x:c r="J30" s="24" t="str">
        <x:v>是</x:v>
      </x:c>
      <x:c r="K30" s="24" t="n">
        <x:v>3</x:v>
      </x:c>
      <x:c r="L30" s="24" t="str">
        <x:v>空中主攻有效命中恢复10/15/20点时间能量；单次腾空最多回20/30/40点，不延长慢时2秒上限。</x:v>
      </x:c>
      <x:c r="M30" s="24" t="str">
        <x:v>主攻真实有效命中</x:v>
      </x:c>
      <x:c r="N30" s="24" t="str">
        <x:v>每次腾空最多返还12时间能量；空中命中一攻击包一次；不延长2秒慢时累计上限；同名重复获取只升等级不额外占槽，满级不再进入奖励池</x:v>
      </x:c>
      <x:c r="O30" s="24" t="str">
        <x:v>任意攻击武器</x:v>
      </x:c>
      <x:c r="P30" s="24" t="str">
        <x:v>P0</x:v>
      </x:c>
      <x:c r="Q30" s="24" t="str">
        <x:v>空中命中补10/15/20时间能量很强，2秒上限与每腾空限额阻止无限停时。</x:v>
      </x:c>
      <x:c r="R30" s="24" t="str">
        <x:v>中</x:v>
      </x:c>
      <x:c r="S30" s="24" t="str">
        <x:v>机制已评审；数值建议待试玩</x:v>
      </x:c>
      <x:c r="T30" s="24" t="str">
        <x:v>弹匣深处，收藏着那颗未能落下的回声。</x:v>
      </x:c>
      <x:c r="U30" s="24" t="str">
        <x:v>{"air_hit_refund_by_level":[10,15,20],"airtime_refund_cap_by_level":[20,30,40],"unique_per_attack_packet":1}</x:v>
      </x:c>
      <x:c r="V30" s="24" t="str">
        <x:v>https://github.com/zhipijun1996/gunman-rush/blob/26e7f2a4459623f35613a857da8a75e89daa3e62/resources/player/demo_ui_01/time_energy_v2.tres</x:v>
      </x:c>
      <x:c r="W30" s="24" t="n">
        <x:f>IF(OR(F30="",G30=""),"",G30-F30)</x:f>
        <x:v>0</x:v>
      </x:c>
      <x:c r="X30" s="24" t="n">
        <x:f>IF(OR(H30="",I30=""),"",I30-H30)</x:f>
        <x:v>-2</x:v>
      </x:c>
      <x:c r="Y30" s="24" t="n">
        <x:f>IFERROR(ROUND(I30/G30,1),"")</x:f>
        <x:v>16</x:v>
      </x:c>
      <x:c r="Z30" s="24" t="str">
        <x:v>数值候选</x:v>
      </x:c>
      <x:c r="AA30" s="24" t="str">
        <x:v>修改</x:v>
      </x:c>
      <x:c r="AB30" s="24" t="str">
        <x:v>设计候选；未声称已实装</x:v>
      </x:c>
    </x:row>
    <x:row r="31" ht="55" customHeight="1">
      <x:c r="A31" s="24" t="n">
        <x:v>32</x:v>
      </x:c>
      <x:c r="B31" s="24" t="str">
        <x:v>B09</x:v>
      </x:c>
      <x:c r="C31" s="24" t="str">
        <x:v>接地回路</x:v>
      </x:c>
      <x:c r="D31" s="24" t="str">
        <x:v>蓝色</x:v>
      </x:c>
      <x:c r="E31" s="24" t="str">
        <x:v>其他 / 通用</x:v>
      </x:c>
      <x:c r="F31" s="24" t="n">
        <x:v>2</x:v>
      </x:c>
      <x:c r="G31" s="42" t="n">
        <x:v>2</x:v>
      </x:c>
      <x:c r="H31" s="24" t="n">
        <x:v>34</x:v>
      </x:c>
      <x:c r="I31" s="42" t="n">
        <x:v>27</x:v>
      </x:c>
      <x:c r="J31" s="24" t="str">
        <x:v>否</x:v>
      </x:c>
      <x:c r="K31" s="24" t="n">
        <x:v>1</x:v>
      </x:c>
      <x:c r="L31" s="24" t="str">
        <x:v>落地时间能量自然恢复速率×1.25（30→37.5点/真实秒）；空中仍不能自然恢复。</x:v>
      </x:c>
      <x:c r="M31" s="24" t="str">
        <x:v>落地等待回能</x:v>
      </x:c>
      <x:c r="N31" s="24" t="str">
        <x:v>空中不自动回复</x:v>
      </x:c>
      <x:c r="O31" s="24" t="str">
        <x:v>无</x:v>
      </x:c>
      <x:c r="P31" s="24" t="str">
        <x:v>P0</x:v>
      </x:c>
      <x:c r="Q31" s="24" t="str">
        <x:v>地面回能30→37.5，相当于缩短整备，不影响空中持续时间上限。</x:v>
      </x:c>
      <x:c r="R31" s="24" t="str">
        <x:v>低</x:v>
      </x:c>
      <x:c r="S31" s="24" t="str">
        <x:v>机制已评审；数值建议待试玩</x:v>
      </x:c>
      <x:c r="T31" s="24" t="str">
        <x:v>泥土替每一次过度用力的枪鸣保存余温。</x:v>
      </x:c>
      <x:c r="U31" s="24" t="str">
        <x:v>{"focus_stamina_recovery_multiplier":1.25}</x:v>
      </x:c>
      <x:c r="V31" s="24" t="str">
        <x:v>https://github.com/zhipijun1996/gunman-rush/blob/26e7f2a4459623f35613a857da8a75e89daa3e62/resources/player/demo_ui_01/time_energy_v2.tres</x:v>
      </x:c>
      <x:c r="W31" s="24" t="n">
        <x:f>IF(OR(F31="",G31=""),"",G31-F31)</x:f>
        <x:v>0</x:v>
      </x:c>
      <x:c r="X31" s="24" t="n">
        <x:f>IF(OR(H31="",I31=""),"",I31-H31)</x:f>
        <x:v>-7</x:v>
      </x:c>
      <x:c r="Y31" s="24" t="n">
        <x:f>IFERROR(ROUND(I31/G31,1),"")</x:f>
        <x:v>13.5</x:v>
      </x:c>
      <x:c r="Z31" s="24" t="str">
        <x:v>数值候选</x:v>
      </x:c>
      <x:c r="AA31" s="24" t="str">
        <x:v>保留</x:v>
      </x:c>
      <x:c r="AB31" s="24" t="str">
        <x:v>设计候选；未声称已实装</x:v>
      </x:c>
    </x:row>
    <x:row r="32" ht="55" customHeight="1">
      <x:c r="A32" s="24" t="n">
        <x:v>35</x:v>
      </x:c>
      <x:c r="B32" s="24" t="str">
        <x:v>B18</x:v>
      </x:c>
      <x:c r="C32" s="24" t="str">
        <x:v>捕魂音叉</x:v>
      </x:c>
      <x:c r="D32" s="24" t="str">
        <x:v>蓝色</x:v>
      </x:c>
      <x:c r="E32" s="24" t="str">
        <x:v>战斗共鸣</x:v>
      </x:c>
      <x:c r="F32" s="24" t="n">
        <x:v>2</x:v>
      </x:c>
      <x:c r="G32" s="42" t="n">
        <x:v>2</x:v>
      </x:c>
      <x:c r="H32" s="24" t="n">
        <x:v>30</x:v>
      </x:c>
      <x:c r="I32" s="42" t="n">
        <x:v>30</x:v>
      </x:c>
      <x:c r="J32" s="24" t="str">
        <x:v>是</x:v>
      </x:c>
      <x:c r="K32" s="24" t="n">
        <x:v>3</x:v>
      </x:c>
      <x:c r="L32" s="24" t="str">
        <x:v>Lv1/2/3 主攻击包单目标基础共鸣额外+2/+3/+4；共用每攻击包12点收益上限。</x:v>
      </x:c>
      <x:c r="M32" s="24" t="str">
        <x:v>有效主动主攻命中</x:v>
      </x:c>
      <x:c r="N32" s="24" t="str">
        <x:v>同攻击包-目标一次，基础7、每包上限12；持续激光按合法tick窗口，技能/伴机不产能；同名重复获取只升等级不额外占槽，满级不再进入奖励池</x:v>
      </x:c>
      <x:c r="O32" s="24" t="str">
        <x:v>任意攻击武器</x:v>
      </x:c>
      <x:c r="P32" s="24" t="str">
        <x:v>P0</x:v>
      </x:c>
      <x:c r="Q32" s="24" t="str">
        <x:v>7基础+2/+3/+4到9/10/11，受12攻击包上限约束；三级价总90金。</x:v>
      </x:c>
      <x:c r="R32" s="24" t="str">
        <x:v>低</x:v>
      </x:c>
      <x:c r="S32" s="24" t="str">
        <x:v>机制已评审；数值建议待试玩</x:v>
      </x:c>
      <x:c r="T32" s="24" t="str">
        <x:v>只要有人回应，碎钟就仍有重新摆动的理由。</x:v>
      </x:c>
      <x:c r="U32" s="24" t="str">
        <x:v>{"extra_combat_energy_per_target_by_level":[2,3,4],"energy_packet_total_cap":12}</x:v>
      </x:c>
      <x:c r="V32" s="24" t="str">
        <x:v>https://github.com/zhipijun1996/gunman-rush/blob/26e7f2a4459623f35613a857da8a75e89daa3e62/scripts/resources/state/combat_energy_state.gd</x:v>
      </x:c>
      <x:c r="W32" s="24" t="n">
        <x:f>IF(OR(F32="",G32=""),"",G32-F32)</x:f>
        <x:v>0</x:v>
      </x:c>
      <x:c r="X32" s="24" t="n">
        <x:f>IF(OR(H32="",I32=""),"",I32-H32)</x:f>
        <x:v>0</x:v>
      </x:c>
      <x:c r="Y32" s="24" t="n">
        <x:f>IFERROR(ROUND(I32/G32,1),"")</x:f>
        <x:v>15</x:v>
      </x:c>
      <x:c r="Z32" s="24" t="str">
        <x:v>数值候选</x:v>
      </x:c>
      <x:c r="AA32" s="24" t="str">
        <x:v>修改</x:v>
      </x:c>
      <x:c r="AB32" s="24" t="str">
        <x:v>设计候选；未声称已实装</x:v>
      </x:c>
    </x:row>
    <x:row r="33" ht="55" customHeight="1">
      <x:c r="A33" s="24" t="n">
        <x:v>37</x:v>
      </x:c>
      <x:c r="B33" s="24" t="str">
        <x:v>B26</x:v>
      </x:c>
      <x:c r="C33" s="24" t="str">
        <x:v>巨腹储鸣罐</x:v>
      </x:c>
      <x:c r="D33" s="24" t="str">
        <x:v>蓝色</x:v>
      </x:c>
      <x:c r="E33" s="24" t="str">
        <x:v>战斗共鸣</x:v>
      </x:c>
      <x:c r="F33" s="24" t="n">
        <x:v>5</x:v>
      </x:c>
      <x:c r="G33" s="42" t="n">
        <x:v>5</x:v>
      </x:c>
      <x:c r="H33" s="24" t="n">
        <x:v>38</x:v>
      </x:c>
      <x:c r="I33" s="42" t="n">
        <x:v>33</x:v>
      </x:c>
      <x:c r="J33" s="24" t="str">
        <x:v>是</x:v>
      </x:c>
      <x:c r="K33" s="24" t="n">
        <x:v>3</x:v>
      </x:c>
      <x:c r="L33" s="24" t="str">
        <x:v>Lv1/2/3 战斗共鸣上限+40/+60/+80；增加上限时不免费补能。</x:v>
      </x:c>
      <x:c r="M33" s="24" t="str">
        <x:v>装备生效</x:v>
      </x:c>
      <x:c r="N33" s="24" t="str">
        <x:v>蓝色高负荷样例；卸装只钳制不创造能量；同名重复获取只升等级不额外占槽，满级不再进入奖励池</x:v>
      </x:c>
      <x:c r="O33" s="24" t="str">
        <x:v>共鸣系统已开放</x:v>
      </x:c>
      <x:c r="P33" s="24" t="str">
        <x:v>P1</x:v>
      </x:c>
      <x:c r="Q33" s="24" t="str">
        <x:v>5槽换大容量140~180，不直接产能，强度依赖高频Lv3；价格33更合理。</x:v>
      </x:c>
      <x:c r="R33" s="24" t="str">
        <x:v>低</x:v>
      </x:c>
      <x:c r="S33" s="24" t="str">
        <x:v>机制已评审；数值建议待试玩</x:v>
      </x:c>
      <x:c r="T33" s="24" t="str">
        <x:v>盛得下四十声回响，却未必知道该回应哪一声。</x:v>
      </x:c>
      <x:c r="U33" s="24" t="str">
        <x:v>{"max_resonance_add_by_level":[40,60,80]}</x:v>
      </x:c>
      <x:c r="V33" s="24" t="str">
        <x:v>https://github.com/zhipijun1996/gunman-rush/blob/26e7f2a4459623f35613a857da8a75e89daa3e62/scripts/resources/state/combat_energy_state.gd</x:v>
      </x:c>
      <x:c r="W33" s="24" t="n">
        <x:f>IF(OR(F33="",G33=""),"",G33-F33)</x:f>
        <x:v>0</x:v>
      </x:c>
      <x:c r="X33" s="24" t="n">
        <x:f>IF(OR(H33="",I33=""),"",I33-H33)</x:f>
        <x:v>-5</x:v>
      </x:c>
      <x:c r="Y33" s="24" t="n">
        <x:f>IFERROR(ROUND(I33/G33,1),"")</x:f>
        <x:v>6.6</x:v>
      </x:c>
      <x:c r="Z33" s="24" t="str">
        <x:v>数值候选</x:v>
      </x:c>
      <x:c r="AA33" s="24" t="str">
        <x:v>修改</x:v>
      </x:c>
      <x:c r="AB33" s="24" t="str">
        <x:v>设计候选；未声称已实装</x:v>
      </x:c>
    </x:row>
    <x:row r="34" ht="55" customHeight="1">
      <x:c r="A34" s="24" t="n">
        <x:v>38</x:v>
      </x:c>
      <x:c r="B34" s="24" t="str">
        <x:v>P02</x:v>
      </x:c>
      <x:c r="C34" s="24" t="str">
        <x:v>共鸣整流器</x:v>
      </x:c>
      <x:c r="D34" s="24" t="str">
        <x:v>紫色</x:v>
      </x:c>
      <x:c r="E34" s="24" t="str">
        <x:v>主动技能</x:v>
      </x:c>
      <x:c r="F34" s="24" t="n">
        <x:v>2</x:v>
      </x:c>
      <x:c r="G34" s="42" t="n">
        <x:v>2</x:v>
      </x:c>
      <x:c r="H34" s="24" t="n">
        <x:v>74</x:v>
      </x:c>
      <x:c r="I34" s="42" t="n">
        <x:v>48</x:v>
      </x:c>
      <x:c r="J34" s="24" t="str">
        <x:v>否</x:v>
      </x:c>
      <x:c r="K34" s="24" t="n">
        <x:v>1</x:v>
      </x:c>
      <x:c r="L34" s="24" t="str">
        <x:v>当前技能战斗能量消耗×0.90（通常60→54）；不作用于时间能量。</x:v>
      </x:c>
      <x:c r="M34" s="24" t="str">
        <x:v>发动共鸣主动</x:v>
      </x:c>
      <x:c r="N34" s="24" t="str">
        <x:v>每次技能最小消耗15；无免费施法</x:v>
      </x:c>
      <x:c r="O34" s="24" t="str">
        <x:v>Lv3武器技能或道具主动技能</x:v>
      </x:c>
      <x:c r="P34" s="24" t="str">
        <x:v>P0</x:v>
      </x:c>
      <x:c r="Q34" s="24" t="str">
        <x:v>共鸣成本60→54，10%减耗通常需多轮技能才回本，48金优于原74。</x:v>
      </x:c>
      <x:c r="R34" s="24" t="str">
        <x:v>低</x:v>
      </x:c>
      <x:c r="S34" s="24" t="str">
        <x:v>机制已评审；数值建议待试玩</x:v>
      </x:c>
      <x:c r="T34" s="24" t="str">
        <x:v>凌乱的回声排成一队，终于懂得省下自己的力气。</x:v>
      </x:c>
      <x:c r="U34" s="24" t="str">
        <x:v>{"skill_combat_energy_cost_multiplier":0.9}</x:v>
      </x:c>
      <x:c r="V34" s="24" t="str">
        <x:v>https://github.com/zhipijun1996/gunman-rush/blob/26e7f2a4459623f35613a857da8a75e89daa3e62/scripts/resources/state/combat_energy_state.gd</x:v>
      </x:c>
      <x:c r="W34" s="24" t="n">
        <x:f>IF(OR(F34="",G34=""),"",G34-F34)</x:f>
        <x:v>0</x:v>
      </x:c>
      <x:c r="X34" s="24" t="n">
        <x:f>IF(OR(H34="",I34=""),"",I34-H34)</x:f>
        <x:v>-26</x:v>
      </x:c>
      <x:c r="Y34" s="24" t="n">
        <x:f>IFERROR(ROUND(I34/G34,1),"")</x:f>
        <x:v>24</x:v>
      </x:c>
      <x:c r="Z34" s="24" t="str">
        <x:v>数值候选</x:v>
      </x:c>
      <x:c r="AA34" s="24" t="str">
        <x:v>保留</x:v>
      </x:c>
      <x:c r="AB34" s="24" t="str">
        <x:v>设计候选；未声称已实装</x:v>
      </x:c>
    </x:row>
    <x:row r="35" ht="55" customHeight="1">
      <x:c r="A35" s="24" t="n">
        <x:v>39</x:v>
      </x:c>
      <x:c r="B35" s="24" t="str">
        <x:v>B33</x:v>
      </x:c>
      <x:c r="C35" s="24" t="str">
        <x:v>小焰触片</x:v>
      </x:c>
      <x:c r="D35" s="24" t="str">
        <x:v>蓝色</x:v>
      </x:c>
      <x:c r="E35" s="24" t="str">
        <x:v>主动攻击</x:v>
      </x:c>
      <x:c r="F35" s="24" t="n">
        <x:v>1</x:v>
      </x:c>
      <x:c r="G35" s="42" t="n">
        <x:v>1</x:v>
      </x:c>
      <x:c r="H35" s="24" t="n">
        <x:v>32</x:v>
      </x:c>
      <x:c r="I35" s="42" t="n">
        <x:v>28</x:v>
      </x:c>
      <x:c r="J35" s="24" t="str">
        <x:v>是</x:v>
      </x:c>
      <x:c r="K35" s="24" t="n">
        <x:v>3</x:v>
      </x:c>
      <x:c r="L35" s="24" t="str">
        <x:v>非炸弹武器可抽取；主动消耗30共鸣，80半径爆炸伤害Lv1/2/3为1.10/1.50/1.90D，CD10秒。</x:v>
      </x:c>
      <x:c r="M35" s="24" t="str">
        <x:v>按共鸣技能键</x:v>
      </x:c>
      <x:c r="N35" s="24" t="str">
        <x:v>当前为炸弹家族及其升级形态时不进入新奖励池；已持有不删除</x:v>
      </x:c>
      <x:c r="O35" s="24" t="str">
        <x:v>共鸣主动系统已开放</x:v>
      </x:c>
      <x:c r="P35" s="24" t="str">
        <x:v>P0</x:v>
      </x:c>
      <x:c r="Q35" s="24" t="str">
        <x:v>1槽短CD爆炸主动很划算，但消耗30共鸣，非炸弹武器才出；三级达1.9D。</x:v>
      </x:c>
      <x:c r="R35" s="24" t="str">
        <x:v>中</x:v>
      </x:c>
      <x:c r="S35" s="24" t="str">
        <x:v>机制已评审；数值建议待试玩</x:v>
      </x:c>
      <x:c r="T35" s="24" t="str">
        <x:v>火光不大，但足够照亮一点阴影。</x:v>
      </x:c>
      <x:c r="U35" s="24" t="str">
        <x:v>{"combat_energy_cost":30,"damage_ratio_D_by_level":[1.1,1.5,1.9],"radius_px":80,"cooldown_s":10,"exclude_weapon_family":"BOMB"}</x:v>
      </x:c>
      <x:c r="V35" s="24" t="str">
        <x:v>https://github.com/zhipijun1996/gunman-rush/blob/26e7f2a4459623f35613a857da8a75e89daa3e62/scripts/resources/state/combat_energy_state.gd</x:v>
      </x:c>
      <x:c r="W35" s="24" t="n">
        <x:f>IF(OR(F35="",G35=""),"",G35-F35)</x:f>
        <x:v>0</x:v>
      </x:c>
      <x:c r="X35" s="24" t="n">
        <x:f>IF(OR(H35="",I35=""),"",I35-H35)</x:f>
        <x:v>-4</x:v>
      </x:c>
      <x:c r="Y35" s="24" t="n">
        <x:f>IFERROR(ROUND(I35/G35,1),"")</x:f>
        <x:v>28</x:v>
      </x:c>
      <x:c r="Z35" s="24" t="str">
        <x:v>数值候选</x:v>
      </x:c>
      <x:c r="AA35" s="24" t="str">
        <x:v>修改</x:v>
      </x:c>
      <x:c r="AB35" s="24" t="str">
        <x:v>设计候选；未声称已实装</x:v>
      </x:c>
    </x:row>
    <x:row r="36" ht="55" customHeight="1">
      <x:c r="A36" s="24" t="n">
        <x:v>40</x:v>
      </x:c>
      <x:c r="B36" s="24" t="str">
        <x:v>P17</x:v>
      </x:c>
      <x:c r="C36" s="24" t="str">
        <x:v>游鸣聚能体</x:v>
      </x:c>
      <x:c r="D36" s="24" t="str">
        <x:v>紫色</x:v>
      </x:c>
      <x:c r="E36" s="24" t="str">
        <x:v>主动技能</x:v>
      </x:c>
      <x:c r="F36" s="24" t="n">
        <x:v>2</x:v>
      </x:c>
      <x:c r="G36" s="42" t="n">
        <x:v>2</x:v>
      </x:c>
      <x:c r="H36" s="24" t="n">
        <x:v>58</x:v>
      </x:c>
      <x:c r="I36" s="42" t="n">
        <x:v>42</x:v>
      </x:c>
      <x:c r="J36" s="24" t="str">
        <x:v>是</x:v>
      </x:c>
      <x:c r="K36" s="24" t="n">
        <x:v>3</x:v>
      </x:c>
      <x:c r="L36" s="24" t="str">
        <x:v>有真实蓄力前摇的Lv3主动技能，蓄力期间可按地速40%/55%/70%移动；不解除奇点等锁定。</x:v>
      </x:c>
      <x:c r="M36" s="24" t="str">
        <x:v>蓄力Lv3技能</x:v>
      </x:c>
      <x:c r="N36" s="24" t="str">
        <x:v>不飞行、不改变跃起次数、不穿陷阱；同名重复获取只升等级不额外占槽，满级不再进入奖励池</x:v>
      </x:c>
      <x:c r="O36" s="24" t="str">
        <x:v>拥有需蓄力Lv3技能</x:v>
      </x:c>
      <x:c r="P36" s="24" t="str">
        <x:v>P3</x:v>
      </x:c>
      <x:c r="Q36" s="24" t="str">
        <x:v>Lv3蓄力期间40%/55%/70%地速移动，对短蓄力0.28秒收益有限；定价42。</x:v>
      </x:c>
      <x:c r="R36" s="24" t="str">
        <x:v>中</x:v>
      </x:c>
      <x:c r="S36" s="24" t="str">
        <x:v>机制已评审；数值建议待试玩</x:v>
      </x:c>
      <x:c r="T36" s="24" t="str">
        <x:v>钟塔最古老的铜软管，只能在缓慢移动时低声唱歌。</x:v>
      </x:c>
      <x:c r="U36" s="24" t="str">
        <x:v>{"charge_move_speed_multiplier_by_level":[0.4,0.55,0.7]}</x:v>
      </x:c>
      <x:c r="V36" s="24" t="str">
        <x:v>https://github.com/zhipijun1996/gunman-rush/blob/26e7f2a4459623f35613a857da8a75e89daa3e62/scripts/combat/weapon_definition.gd</x:v>
      </x:c>
      <x:c r="W36" s="24" t="n">
        <x:f>IF(OR(F36="",G36=""),"",G36-F36)</x:f>
        <x:v>0</x:v>
      </x:c>
      <x:c r="X36" s="24" t="n">
        <x:f>IF(OR(H36="",I36=""),"",I36-H36)</x:f>
        <x:v>-16</x:v>
      </x:c>
      <x:c r="Y36" s="24" t="n">
        <x:f>IFERROR(ROUND(I36/G36,1),"")</x:f>
        <x:v>21</x:v>
      </x:c>
      <x:c r="Z36" s="24" t="str">
        <x:v>数值候选</x:v>
      </x:c>
      <x:c r="AA36" s="24" t="str">
        <x:v>修改</x:v>
      </x:c>
      <x:c r="AB36" s="24" t="str">
        <x:v>设计候选；未声称已实装</x:v>
      </x:c>
    </x:row>
    <x:row r="37" ht="55" customHeight="1">
      <x:c r="A37" s="24" t="n">
        <x:v>41</x:v>
      </x:c>
      <x:c r="B37" s="24" t="str">
        <x:v>B11</x:v>
      </x:c>
      <x:c r="C37" s="24" t="str">
        <x:v>心室木匣</x:v>
      </x:c>
      <x:c r="D37" s="24" t="str">
        <x:v>蓝色</x:v>
      </x:c>
      <x:c r="E37" s="24" t="str">
        <x:v>生命/防御</x:v>
      </x:c>
      <x:c r="F37" s="24" t="n">
        <x:v>2</x:v>
      </x:c>
      <x:c r="G37" s="42" t="n">
        <x:v>2</x:v>
      </x:c>
      <x:c r="H37" s="24" t="n">
        <x:v>28</x:v>
      </x:c>
      <x:c r="I37" s="42" t="n">
        <x:v>29</x:v>
      </x:c>
      <x:c r="J37" s="24" t="str">
        <x:v>是</x:v>
      </x:c>
      <x:c r="K37" s="24" t="n">
        <x:v>3</x:v>
      </x:c>
      <x:c r="L37" s="24" t="str">
        <x:v>Lv1/2/3 最大生命上限分别+1/+2/+3，装备/升级不自动治疗。</x:v>
      </x:c>
      <x:c r="M37" s="24" t="str">
        <x:v>装备生效</x:v>
      </x:c>
      <x:c r="N37" s="24" t="str">
        <x:v>卸装备钳制当前HP，零血不能复活；同名重复获取只升等级不额外占槽，满级不再进入奖励池</x:v>
      </x:c>
      <x:c r="O37" s="24" t="str">
        <x:v>无</x:v>
      </x:c>
      <x:c r="P37" s="24" t="str">
        <x:v>P1</x:v>
      </x:c>
      <x:c r="Q37" s="24" t="str">
        <x:v>+1/+2/+3HP成长很稳，2槽升三级性价比高；不能免费加当前HP。</x:v>
      </x:c>
      <x:c r="R37" s="24" t="str">
        <x:v>低</x:v>
      </x:c>
      <x:c r="S37" s="24" t="str">
        <x:v>机制已评审；数值建议待试玩</x:v>
      </x:c>
      <x:c r="T37" s="24" t="str">
        <x:v>风铃树在春天结出的木匣，还留着一点温暖。</x:v>
      </x:c>
      <x:c r="U37" s="24" t="str">
        <x:v>{"max_hp_add_by_level":[1,2,3]}</x:v>
      </x:c>
      <x:c r="V37" s="24" t="str">
        <x:v>https://github.com/zhipijun1996/gunman-rush/blob/26e7f2a4459623f35613a857da8a75e89daa3e62/resources/actors/prototype_health.tres</x:v>
      </x:c>
      <x:c r="W37" s="24" t="n">
        <x:f>IF(OR(F37="",G37=""),"",G37-F37)</x:f>
        <x:v>0</x:v>
      </x:c>
      <x:c r="X37" s="24" t="n">
        <x:f>IF(OR(H37="",I37=""),"",I37-H37)</x:f>
        <x:v>1</x:v>
      </x:c>
      <x:c r="Y37" s="24" t="n">
        <x:f>IFERROR(ROUND(I37/G37,1),"")</x:f>
        <x:v>14.5</x:v>
      </x:c>
      <x:c r="Z37" s="24" t="str">
        <x:v>数值候选</x:v>
      </x:c>
      <x:c r="AA37" s="24" t="str">
        <x:v>修改</x:v>
      </x:c>
      <x:c r="AB37" s="24" t="str">
        <x:v>设计候选；未声称已实装</x:v>
      </x:c>
    </x:row>
    <x:row r="38" ht="55" customHeight="1">
      <x:c r="A38" s="24" t="n">
        <x:v>43</x:v>
      </x:c>
      <x:c r="B38" s="24" t="str">
        <x:v>B13</x:v>
      </x:c>
      <x:c r="C38" s="24" t="str">
        <x:v>晨露护片</x:v>
      </x:c>
      <x:c r="D38" s="24" t="str">
        <x:v>蓝色</x:v>
      </x:c>
      <x:c r="E38" s="24" t="str">
        <x:v>生命 / 防御</x:v>
      </x:c>
      <x:c r="F38" s="24" t="n">
        <x:v>1</x:v>
      </x:c>
      <x:c r="G38" s="42" t="n">
        <x:v>1</x:v>
      </x:c>
      <x:c r="H38" s="24" t="n">
        <x:v>26</x:v>
      </x:c>
      <x:c r="I38" s="42" t="n">
        <x:v>26</x:v>
      </x:c>
      <x:c r="J38" s="24" t="str">
        <x:v>否</x:v>
      </x:c>
      <x:c r="K38" s="24" t="n">
        <x:v>1</x:v>
      </x:c>
      <x:c r="L38" s="24" t="str">
        <x:v>若装备，进入地图时得到1点临时护盾</x:v>
      </x:c>
      <x:c r="M38" s="24" t="str">
        <x:v>进入新地图</x:v>
      </x:c>
      <x:c r="N38" s="24" t="str">
        <x:v>每map_instance至多一次；中途装备不补护盾</x:v>
      </x:c>
      <x:c r="O38" s="24" t="str">
        <x:v>无</x:v>
      </x:c>
      <x:c r="P38" s="24" t="str">
        <x:v>P1</x:v>
      </x:c>
      <x:c r="Q38" s="24" t="str">
        <x:v>跨图1护盾只触发新图一次；1槽虽强但短局仅两次，价格26。</x:v>
      </x:c>
      <x:c r="R38" s="24" t="str">
        <x:v>低</x:v>
      </x:c>
      <x:c r="S38" s="24" t="str">
        <x:v>机制已评审；数值建议待试玩</x:v>
      </x:c>
      <x:c r="T38" s="24" t="str">
        <x:v>清晨的钟露，只够遮住一次风雨。</x:v>
      </x:c>
      <x:c r="U38" s="24" t="str">
        <x:v>{"map_start_barrier":1}</x:v>
      </x:c>
      <x:c r="V38" s="24" t="str">
        <x:v>https://github.com/zhipijun1996/gunman-rush/blob/26e7f2a4459623f35613a857da8a75e89daa3e62/scripts/combat/weapon_definition.gd</x:v>
      </x:c>
      <x:c r="W38" s="24" t="n">
        <x:f>IF(OR(F38="",G38=""),"",G38-F38)</x:f>
        <x:v>0</x:v>
      </x:c>
      <x:c r="X38" s="24" t="n">
        <x:f>IF(OR(H38="",I38=""),"",I38-H38)</x:f>
        <x:v>0</x:v>
      </x:c>
      <x:c r="Y38" s="24" t="n">
        <x:f>IFERROR(ROUND(I38/G38,1),"")</x:f>
        <x:v>26</x:v>
      </x:c>
      <x:c r="Z38" s="24" t="str">
        <x:v>数值候选</x:v>
      </x:c>
      <x:c r="AA38" s="24" t="str">
        <x:v>保留</x:v>
      </x:c>
      <x:c r="AB38" s="24" t="str">
        <x:v>设计候选；未声称已实装</x:v>
      </x:c>
    </x:row>
    <x:row r="39" ht="55" customHeight="1">
      <x:c r="A39" s="24" t="n">
        <x:v>44</x:v>
      </x:c>
      <x:c r="B39" s="24" t="str">
        <x:v>B14</x:v>
      </x:c>
      <x:c r="C39" s="24" t="str">
        <x:v>苦痛铃歌</x:v>
      </x:c>
      <x:c r="D39" s="24" t="str">
        <x:v>蓝色</x:v>
      </x:c>
      <x:c r="E39" s="24" t="str">
        <x:v>生命 / 防御</x:v>
      </x:c>
      <x:c r="F39" s="24" t="n">
        <x:v>1</x:v>
      </x:c>
      <x:c r="G39" s="42" t="n">
        <x:v>1</x:v>
      </x:c>
      <x:c r="H39" s="24" t="n">
        <x:v>29</x:v>
      </x:c>
      <x:c r="I39" s="42" t="n">
        <x:v>27</x:v>
      </x:c>
      <x:c r="J39" s="24" t="str">
        <x:v>否</x:v>
      </x:c>
      <x:c r="K39" s="24" t="n">
        <x:v>1</x:v>
      </x:c>
      <x:c r="L39" s="24" t="str">
        <x:v>实际损失HP后获得12点战斗能量；同一次伤害只触发一次，不超过100容量。</x:v>
      </x:c>
      <x:c r="M39" s="24" t="str">
        <x:v>实际损失HP</x:v>
      </x:c>
      <x:c r="N39" s="24" t="str">
        <x:v>同一damage_commit_id一次；不由致死后的后续逻辑触发</x:v>
      </x:c>
      <x:c r="O39" s="24" t="str">
        <x:v>无</x:v>
      </x:c>
      <x:c r="P39" s="24" t="str">
        <x:v>P0</x:v>
      </x:c>
      <x:c r="Q39" s="24" t="str">
        <x:v>失血才+12共鸣且CD7秒，可能鼓励冒险但无法自产循环。</x:v>
      </x:c>
      <x:c r="R39" s="24" t="str">
        <x:v>低</x:v>
      </x:c>
      <x:c r="S39" s="24" t="str">
        <x:v>机制已评审；数值建议待试玩</x:v>
      </x:c>
      <x:c r="T39" s="24" t="str">
        <x:v>疼痛不是回答，却会使沉寂的铜铃重新响起。</x:v>
      </x:c>
      <x:c r="U39" s="24" t="str">
        <x:v>{"combat_energy_gain_on_damage":12}</x:v>
      </x:c>
      <x:c r="V39" s="24" t="str">
        <x:v>https://github.com/zhipijun1996/gunman-rush/blob/26e7f2a4459623f35613a857da8a75e89daa3e62/scripts/resources/state/combat_energy_state.gd</x:v>
      </x:c>
      <x:c r="W39" s="24" t="n">
        <x:f>IF(OR(F39="",G39=""),"",G39-F39)</x:f>
        <x:v>0</x:v>
      </x:c>
      <x:c r="X39" s="24" t="n">
        <x:f>IF(OR(H39="",I39=""),"",I39-H39)</x:f>
        <x:v>-2</x:v>
      </x:c>
      <x:c r="Y39" s="24" t="n">
        <x:f>IFERROR(ROUND(I39/G39,1),"")</x:f>
        <x:v>27</x:v>
      </x:c>
      <x:c r="Z39" s="24" t="str">
        <x:v>数值候选</x:v>
      </x:c>
      <x:c r="AA39" s="24" t="str">
        <x:v>保留</x:v>
      </x:c>
      <x:c r="AB39" s="24" t="str">
        <x:v>设计候选；未声称已实装</x:v>
      </x:c>
    </x:row>
    <x:row r="40" ht="55" customHeight="1">
      <x:c r="A40" s="24" t="n">
        <x:v>45</x:v>
      </x:c>
      <x:c r="B40" s="24" t="str">
        <x:v>B15</x:v>
      </x:c>
      <x:c r="C40" s="24" t="str">
        <x:v>荆棘铜衣</x:v>
      </x:c>
      <x:c r="D40" s="24" t="str">
        <x:v>蓝色</x:v>
      </x:c>
      <x:c r="E40" s="24" t="str">
        <x:v>生命 / 防御</x:v>
      </x:c>
      <x:c r="F40" s="24" t="n">
        <x:v>1</x:v>
      </x:c>
      <x:c r="G40" s="42" t="n">
        <x:v>1</x:v>
      </x:c>
      <x:c r="H40" s="24" t="n">
        <x:v>30</x:v>
      </x:c>
      <x:c r="I40" s="42" t="n">
        <x:v>28</x:v>
      </x:c>
      <x:c r="J40" s="24" t="str">
        <x:v>否</x:v>
      </x:c>
      <x:c r="K40" s="24" t="n">
        <x:v>1</x:v>
      </x:c>
      <x:c r="L40" s="24" t="str">
        <x:v>受HP伤害后在周围78世界单位内造成0.65D反击；7秒冷却，派生伤害不回战斗能量。</x:v>
      </x:c>
      <x:c r="M40" s="24" t="str">
        <x:v>实际损失HP</x:v>
      </x:c>
      <x:c r="N40" s="24" t="str">
        <x:v>对同一敌一次；反击不回能，不递归触发</x:v>
      </x:c>
      <x:c r="O40" s="24" t="str">
        <x:v>无</x:v>
      </x:c>
      <x:c r="P40" s="24" t="str">
        <x:v>P0</x:v>
      </x:c>
      <x:c r="Q40" s="24" t="str">
        <x:v>反击半径78、0.65D在5HP环境很冒险，1槽维持可用性。</x:v>
      </x:c>
      <x:c r="R40" s="24" t="str">
        <x:v>低</x:v>
      </x:c>
      <x:c r="S40" s="24" t="str">
        <x:v>机制已评审；数值建议待试玩</x:v>
      </x:c>
      <x:c r="T40" s="24" t="str">
        <x:v>风铃原本柔软，是废墟教会它长出尖刺。</x:v>
      </x:c>
      <x:c r="U40" s="24" t="str">
        <x:v>{"damage_ratio_D":0.65,"radius_px":78}</x:v>
      </x:c>
      <x:c r="V40" s="24" t="str">
        <x:v>https://github.com/zhipijun1996/gunman-rush/blob/26e7f2a4459623f35613a857da8a75e89daa3e62/scripts/combat/weapon_definition.gd</x:v>
      </x:c>
      <x:c r="W40" s="24" t="n">
        <x:f>IF(OR(F40="",G40=""),"",G40-F40)</x:f>
        <x:v>0</x:v>
      </x:c>
      <x:c r="X40" s="24" t="n">
        <x:f>IF(OR(H40="",I40=""),"",I40-H40)</x:f>
        <x:v>-2</x:v>
      </x:c>
      <x:c r="Y40" s="24" t="n">
        <x:f>IFERROR(ROUND(I40/G40,1),"")</x:f>
        <x:v>28</x:v>
      </x:c>
      <x:c r="Z40" s="24" t="str">
        <x:v>数值候选</x:v>
      </x:c>
      <x:c r="AA40" s="24" t="str">
        <x:v>保留</x:v>
      </x:c>
      <x:c r="AB40" s="24" t="str">
        <x:v>设计候选；未声称已实装</x:v>
      </x:c>
    </x:row>
    <x:row r="41" ht="55" customHeight="1">
      <x:c r="A41" s="24" t="n">
        <x:v>46</x:v>
      </x:c>
      <x:c r="B41" s="24" t="str">
        <x:v>B27</x:v>
      </x:c>
      <x:c r="C41" s="24" t="str">
        <x:v>顽固护壳</x:v>
      </x:c>
      <x:c r="D41" s="24" t="str">
        <x:v>蓝色</x:v>
      </x:c>
      <x:c r="E41" s="24" t="str">
        <x:v>生命 / 防御</x:v>
      </x:c>
      <x:c r="F41" s="24" t="n">
        <x:v>3</x:v>
      </x:c>
      <x:c r="G41" s="42" t="n">
        <x:v>3</x:v>
      </x:c>
      <x:c r="H41" s="24" t="n">
        <x:v>30</x:v>
      </x:c>
      <x:c r="I41" s="42" t="n">
        <x:v>29</x:v>
      </x:c>
      <x:c r="J41" s="24" t="str">
        <x:v>否</x:v>
      </x:c>
      <x:c r="K41" s="24" t="n">
        <x:v>1</x:v>
      </x:c>
      <x:c r="L41" s="24" t="str">
        <x:v>已有受伤无敌时间额外增加0.08秒；不能无限叠加。</x:v>
      </x:c>
      <x:c r="M41" s="24" t="str">
        <x:v>受伤后合法无敌窗</x:v>
      </x:c>
      <x:c r="N41" s="24" t="str">
        <x:v>不改变伤害提交/死亡优先；总无敌长度封顶</x:v>
      </x:c>
      <x:c r="O41" s="24" t="str">
        <x:v>无</x:v>
      </x:c>
      <x:c r="P41" s="24" t="str">
        <x:v>P1</x:v>
      </x:c>
      <x:c r="Q41" s="24" t="str">
        <x:v>当前受伤反馈保护窗口较短，+0.08秒可以防连击但3槽偏重；暂维持等实际测试。</x:v>
      </x:c>
      <x:c r="R41" s="24" t="str">
        <x:v>低</x:v>
      </x:c>
      <x:c r="S41" s="24" t="str">
        <x:v>机制已评审；数值建议待试玩</x:v>
      </x:c>
      <x:c r="T41" s="24" t="str">
        <x:v>明明已经裂开，却仍把最后一道风挡在身后。</x:v>
      </x:c>
      <x:c r="U41" s="24" t="str">
        <x:v>{"invulnerable_add_s":0.08}</x:v>
      </x:c>
      <x:c r="V41" s="24" t="str">
        <x:v>https://github.com/zhipijun1996/gunman-rush/blob/26e7f2a4459623f35613a857da8a75e89daa3e62/scripts/combat/weapon_definition.gd</x:v>
      </x:c>
      <x:c r="W41" s="24" t="n">
        <x:f>IF(OR(F41="",G41=""),"",G41-F41)</x:f>
        <x:v>0</x:v>
      </x:c>
      <x:c r="X41" s="24" t="n">
        <x:f>IF(OR(H41="",I41=""),"",I41-H41)</x:f>
        <x:v>-1</x:v>
      </x:c>
      <x:c r="Y41" s="24" t="n">
        <x:f>IFERROR(ROUND(I41/G41,1),"")</x:f>
        <x:v>9.7</x:v>
      </x:c>
      <x:c r="Z41" s="24" t="str">
        <x:v>数值候选</x:v>
      </x:c>
      <x:c r="AA41" s="24" t="str">
        <x:v>保留</x:v>
      </x:c>
      <x:c r="AB41" s="24" t="str">
        <x:v>设计候选；未声称已实装</x:v>
      </x:c>
    </x:row>
    <x:row r="42" ht="55" customHeight="1">
      <x:c r="A42" s="24" t="n">
        <x:v>47</x:v>
      </x:c>
      <x:c r="B42" s="24" t="str">
        <x:v>B30</x:v>
      </x:c>
      <x:c r="C42" s="24" t="str">
        <x:v>易裂心匣</x:v>
      </x:c>
      <x:c r="D42" s="24" t="str">
        <x:v>蓝色</x:v>
      </x:c>
      <x:c r="E42" s="24" t="str">
        <x:v>生命/防御</x:v>
      </x:c>
      <x:c r="F42" s="24" t="n">
        <x:v>4</x:v>
      </x:c>
      <x:c r="G42" s="42" t="n">
        <x:v>4</x:v>
      </x:c>
      <x:c r="H42" s="24" t="n">
        <x:v>34</x:v>
      </x:c>
      <x:c r="I42" s="42" t="n">
        <x:v>28</x:v>
      </x:c>
      <x:c r="J42" s="24" t="str">
        <x:v>否</x:v>
      </x:c>
      <x:c r="K42" s="24" t="n">
        <x:v>1</x:v>
      </x:c>
      <x:c r="L42" s="24" t="str">
        <x:v>最大HP+3；累计受到3次实际HP伤害后破碎，支付18金币修复；跨地图保留裂纹。</x:v>
      </x:c>
      <x:c r="M42" s="24" t="str">
        <x:v>装备生效</x:v>
      </x:c>
      <x:c r="N42" s="24" t="str">
        <x:v>损坏移除生命上限来源，当前生命钳制</x:v>
      </x:c>
      <x:c r="O42" s="24" t="str">
        <x:v>无</x:v>
      </x:c>
      <x:c r="P42" s="24" t="str">
        <x:v>P3</x:v>
      </x:c>
      <x:c r="Q42" s="24" t="str">
        <x:v>+3HP但3次受伤即碎；对5HP基础显著，价格28、修复18保留风险。</x:v>
      </x:c>
      <x:c r="R42" s="24" t="str">
        <x:v>中</x:v>
      </x:c>
      <x:c r="S42" s="24" t="str">
        <x:v>机制已评审；数值建议待试玩</x:v>
      </x:c>
      <x:c r="T42" s="24" t="str">
        <x:v>多留一点生命的代价，是听见心匣开裂的声音。</x:v>
      </x:c>
      <x:c r="U42" s="24" t="str">
        <x:v>{"max_hp_add":3,"break_on_hits":3,"repair_price":18}</x:v>
      </x:c>
      <x:c r="V42" s="24" t="str">
        <x:v>https://github.com/zhipijun1996/gunman-rush/blob/26e7f2a4459623f35613a857da8a75e89daa3e62/resources/actors/prototype_health.tres</x:v>
      </x:c>
      <x:c r="W42" s="24" t="n">
        <x:f>IF(OR(F42="",G42=""),"",G42-F42)</x:f>
        <x:v>0</x:v>
      </x:c>
      <x:c r="X42" s="24" t="n">
        <x:f>IF(OR(H42="",I42=""),"",I42-H42)</x:f>
        <x:v>-6</x:v>
      </x:c>
      <x:c r="Y42" s="24" t="n">
        <x:f>IFERROR(ROUND(I42/G42,1),"")</x:f>
        <x:v>7</x:v>
      </x:c>
      <x:c r="Z42" s="24" t="str">
        <x:v>数值候选</x:v>
      </x:c>
      <x:c r="AA42" s="24" t="str">
        <x:v>修改</x:v>
      </x:c>
      <x:c r="AB42" s="24" t="str">
        <x:v>设计候选；未声称已实装</x:v>
      </x:c>
    </x:row>
    <x:row r="43" ht="55" customHeight="1">
      <x:c r="A43" s="24" t="n">
        <x:v>48</x:v>
      </x:c>
      <x:c r="B43" s="24" t="str">
        <x:v>B32</x:v>
      </x:c>
      <x:c r="C43" s="24" t="str">
        <x:v>晨蓝洪流</x:v>
      </x:c>
      <x:c r="D43" s="24" t="str">
        <x:v>蓝色</x:v>
      </x:c>
      <x:c r="E43" s="24" t="str">
        <x:v>生命 / 防御</x:v>
      </x:c>
      <x:c r="F43" s="24" t="n">
        <x:v>4</x:v>
      </x:c>
      <x:c r="G43" s="42" t="n">
        <x:v>4</x:v>
      </x:c>
      <x:c r="H43" s="24" t="n">
        <x:v>37</x:v>
      </x:c>
      <x:c r="I43" s="42" t="n">
        <x:v>33</x:v>
      </x:c>
      <x:c r="J43" s="24" t="str">
        <x:v>否</x:v>
      </x:c>
      <x:c r="K43" s="24" t="n">
        <x:v>1</x:v>
      </x:c>
      <x:c r="L43" s="24" t="str">
        <x:v>进入新地图时获得2点临时护盾；卸装、回退不得重复生成。</x:v>
      </x:c>
      <x:c r="M43" s="24" t="str">
        <x:v>新地图进入</x:v>
      </x:c>
      <x:c r="N43" s="24" t="str">
        <x:v>与晨露护片共享临时护盾上限3；不因切换刷盾</x:v>
      </x:c>
      <x:c r="O43" s="24" t="str">
        <x:v>无</x:v>
      </x:c>
      <x:c r="P43" s="24" t="str">
        <x:v>P2</x:v>
      </x:c>
      <x:c r="Q43" s="24" t="str">
        <x:v>入场2护盾，4槽较高但短图多用价值极大，价格33。</x:v>
      </x:c>
      <x:c r="R43" s="24" t="str">
        <x:v>低</x:v>
      </x:c>
      <x:c r="S43" s="24" t="str">
        <x:v>机制已评审；数值建议待试玩</x:v>
      </x:c>
      <x:c r="T43" s="24" t="str">
        <x:v>昔日的蓝色晨光，装满了一整只生锈的瓶子。</x:v>
      </x:c>
      <x:c r="U43" s="24" t="str">
        <x:v>{"map_start_barrier":2}</x:v>
      </x:c>
      <x:c r="V43" s="24" t="str">
        <x:v>https://github.com/zhipijun1996/gunman-rush/blob/26e7f2a4459623f35613a857da8a75e89daa3e62/scripts/combat/weapon_definition.gd</x:v>
      </x:c>
      <x:c r="W43" s="24" t="n">
        <x:f>IF(OR(F43="",G43=""),"",G43-F43)</x:f>
        <x:v>0</x:v>
      </x:c>
      <x:c r="X43" s="24" t="n">
        <x:f>IF(OR(H43="",I43=""),"",I43-H43)</x:f>
        <x:v>-4</x:v>
      </x:c>
      <x:c r="Y43" s="24" t="n">
        <x:f>IFERROR(ROUND(I43/G43,1),"")</x:f>
        <x:v>8.3</x:v>
      </x:c>
      <x:c r="Z43" s="24" t="str">
        <x:v>数值候选</x:v>
      </x:c>
      <x:c r="AA43" s="24" t="str">
        <x:v>保留</x:v>
      </x:c>
      <x:c r="AB43" s="24" t="str">
        <x:v>设计候选；未声称已实装</x:v>
      </x:c>
    </x:row>
    <x:row r="44" ht="55" customHeight="1">
      <x:c r="A44" s="24" t="n">
        <x:v>49</x:v>
      </x:c>
      <x:c r="B44" s="24" t="str">
        <x:v>P18</x:v>
      </x:c>
      <x:c r="C44" s="24" t="str">
        <x:v>暮钟心契</x:v>
      </x:c>
      <x:c r="D44" s="24" t="str">
        <x:v>紫色</x:v>
      </x:c>
      <x:c r="E44" s="24" t="str">
        <x:v>生命/诅咒</x:v>
      </x:c>
      <x:c r="F44" s="24" t="n">
        <x:v>3</x:v>
      </x:c>
      <x:c r="G44" s="42" t="n">
        <x:v>4</x:v>
      </x:c>
      <x:c r="H44" s="24" t="n">
        <x:v>79</x:v>
      </x:c>
      <x:c r="I44" s="42" t="n">
        <x:v>88</x:v>
      </x:c>
      <x:c r="J44" s="24" t="str">
        <x:v>否</x:v>
      </x:c>
      <x:c r="K44" s="24" t="n">
        <x:v>1</x:v>
      </x:c>
      <x:c r="L44" s="24" t="str">
        <x:v>最大生命上限×2，首次装备当前HP按比例转换一次，此后常规治疗无效；首次装备后本局不可卸下、不可取消，不可升级。</x:v>
      </x:c>
      <x:c r="M44" s="24" t="str">
        <x:v>手动装备后锁定直到本局结束</x:v>
      </x:c>
      <x:c r="N44" s="24" t="str">
        <x:v>装备不可卸下；禁疗覆盖常规治疗物、地图治疗和修补针；首次HP比例转换有一次性收据</x:v>
      </x:c>
      <x:c r="O44" s="24" t="str">
        <x:v>无</x:v>
      </x:c>
      <x:c r="P44" s="24" t="str">
        <x:v>P2</x:v>
      </x:c>
      <x:c r="Q44" s="24" t="str">
        <x:v>最大HP翻倍但治疗彻底封锁且不能卸下，改4槽、88金，入装时按比例转HP仅一次。</x:v>
      </x:c>
      <x:c r="R44" s="24" t="str">
        <x:v>高</x:v>
      </x:c>
      <x:c r="S44" s="24" t="str">
        <x:v>机制已评审；数值建议待试玩</x:v>
      </x:c>
      <x:c r="T44" s="24" t="str">
        <x:v>黄昏的旅人以所有治愈之机，换来漫长却不可回头的旅途。</x:v>
      </x:c>
      <x:c r="U44" s="24" t="str">
        <x:v>{"max_hp_multiplier":2,"normal_healing_multiplier":0,"locked_until_run_end":1,"first_equip_current_hp_ratio_convert":1}</x:v>
      </x:c>
      <x:c r="V44" s="24" t="str">
        <x:v>https://github.com/zhipijun1996/gunman-rush/blob/26e7f2a4459623f35613a857da8a75e89daa3e62/resources/actors/prototype_health.tres</x:v>
      </x:c>
      <x:c r="W44" s="24" t="n">
        <x:f>IF(OR(F44="",G44=""),"",G44-F44)</x:f>
        <x:v>1</x:v>
      </x:c>
      <x:c r="X44" s="24" t="n">
        <x:f>IF(OR(H44="",I44=""),"",I44-H44)</x:f>
        <x:v>9</x:v>
      </x:c>
      <x:c r="Y44" s="24" t="n">
        <x:f>IFERROR(ROUND(I44/G44,1),"")</x:f>
        <x:v>22</x:v>
      </x:c>
      <x:c r="Z44" s="24" t="str">
        <x:v>强机制：需整图实测</x:v>
      </x:c>
      <x:c r="AA44" s="24" t="str">
        <x:v>修改</x:v>
      </x:c>
      <x:c r="AB44" s="24" t="str">
        <x:v>设计候选；未声称已实装</x:v>
      </x:c>
    </x:row>
    <x:row r="45" ht="55" customHeight="1">
      <x:c r="A45" s="24" t="n">
        <x:v>51</x:v>
      </x:c>
      <x:c r="B45" s="24" t="str">
        <x:v>P20</x:v>
      </x:c>
      <x:c r="C45" s="24" t="str">
        <x:v>残影晶刺</x:v>
      </x:c>
      <x:c r="D45" s="24" t="str">
        <x:v>紫色</x:v>
      </x:c>
      <x:c r="E45" s="24" t="str">
        <x:v>生命 / 防御</x:v>
      </x:c>
      <x:c r="F45" s="24" t="n">
        <x:v>2</x:v>
      </x:c>
      <x:c r="G45" s="42" t="n">
        <x:v>2</x:v>
      </x:c>
      <x:c r="H45" s="24" t="n">
        <x:v>66</x:v>
      </x:c>
      <x:c r="I45" s="42" t="n">
        <x:v>49</x:v>
      </x:c>
      <x:c r="J45" s="24" t="str">
        <x:v>否</x:v>
      </x:c>
      <x:c r="K45" s="24" t="n">
        <x:v>1</x:v>
      </x:c>
      <x:c r="L45" s="24" t="str">
        <x:v>原位置留下一枚水晶，敌触碰造成0.60D</x:v>
      </x:c>
      <x:c r="M45" s="24" t="str">
        <x:v>实际掉HP</x:v>
      </x:c>
      <x:c r="N45" s="24" t="str">
        <x:v>残影不赋予传送、不重复产能量</x:v>
      </x:c>
      <x:c r="O45" s="24" t="str">
        <x:v>无</x:v>
      </x:c>
      <x:c r="P45" s="24" t="str">
        <x:v>P2</x:v>
      </x:c>
      <x:c r="Q45" s="24" t="str">
        <x:v>失血后留晶体需敌人再接触，0.6D与12秒CD收益低，49金。</x:v>
      </x:c>
      <x:c r="R45" s="24" t="str">
        <x:v>低</x:v>
      </x:c>
      <x:c r="S45" s="24" t="str">
        <x:v>机制已评审；数值建议待试玩</x:v>
      </x:c>
      <x:c r="T45" s="24" t="str">
        <x:v>疼痛将那一瞬的自己，留成了地上的一枚晶体。</x:v>
      </x:c>
      <x:c r="U45" s="24" t="str">
        <x:v>{"crystal_lifetime_s":5,"contact_damage_ratio_D":0.6}</x:v>
      </x:c>
      <x:c r="V45" s="24" t="str">
        <x:v>https://github.com/zhipijun1996/gunman-rush/blob/26e7f2a4459623f35613a857da8a75e89daa3e62/scripts/combat/weapon_definition.gd</x:v>
      </x:c>
      <x:c r="W45" s="24" t="n">
        <x:f>IF(OR(F45="",G45=""),"",G45-F45)</x:f>
        <x:v>0</x:v>
      </x:c>
      <x:c r="X45" s="24" t="n">
        <x:f>IF(OR(H45="",I45=""),"",I45-H45)</x:f>
        <x:v>-17</x:v>
      </x:c>
      <x:c r="Y45" s="24" t="n">
        <x:f>IFERROR(ROUND(I45/G45,1),"")</x:f>
        <x:v>24.5</x:v>
      </x:c>
      <x:c r="Z45" s="24" t="str">
        <x:v>数值候选</x:v>
      </x:c>
      <x:c r="AA45" s="24" t="str">
        <x:v>保留</x:v>
      </x:c>
      <x:c r="AB45" s="24" t="str">
        <x:v>设计候选；未声称已实装</x:v>
      </x:c>
    </x:row>
    <x:row r="46" ht="55" customHeight="1">
      <x:c r="A46" s="24" t="n">
        <x:v>52</x:v>
      </x:c>
      <x:c r="B46" s="24" t="str">
        <x:v>P26</x:v>
      </x:c>
      <x:c r="C46" s="24" t="str">
        <x:v>回声护幕</x:v>
      </x:c>
      <x:c r="D46" s="24" t="str">
        <x:v>紫色</x:v>
      </x:c>
      <x:c r="E46" s="24" t="str">
        <x:v>主动防御</x:v>
      </x:c>
      <x:c r="F46" s="24" t="n">
        <x:v>3</x:v>
      </x:c>
      <x:c r="G46" s="42" t="n">
        <x:v>3</x:v>
      </x:c>
      <x:c r="H46" s="24" t="n">
        <x:v>73</x:v>
      </x:c>
      <x:c r="I46" s="42" t="n">
        <x:v>73</x:v>
      </x:c>
      <x:c r="J46" s="24" t="str">
        <x:v>否</x:v>
      </x:c>
      <x:c r="K46" s="24" t="n">
        <x:v>1</x:v>
      </x:c>
      <x:c r="L46" s="24" t="str">
        <x:v>主动消耗80点战斗共鸣，使玩家正常运动但抵御符合条件的HP伤害3秒（真实活动时间）；CD30秒；不挡强制失败或坠落。</x:v>
      </x:c>
      <x:c r="M46" s="24" t="str">
        <x:v>按共鸣技能键</x:v>
      </x:c>
      <x:c r="N46" s="24" t="str">
        <x:v>不免疫即死环境、不可叠到100%；施放失败不消耗</x:v>
      </x:c>
      <x:c r="O46" s="24" t="str">
        <x:v>共鸣主动系统</x:v>
      </x:c>
      <x:c r="P46" s="24" t="str">
        <x:v>P1</x:v>
      </x:c>
      <x:c r="Q46" s="24" t="str">
        <x:v>主动3秒绝对防HP伤害，CD30秒+80共鸣的防护价值高，73金不必过贵。</x:v>
      </x:c>
      <x:c r="R46" s="24" t="str">
        <x:v>高</x:v>
      </x:c>
      <x:c r="S46" s="24" t="str">
        <x:v>机制已评审；数值建议待试玩</x:v>
      </x:c>
      <x:c r="T46" s="24" t="str">
        <x:v>钟声不能护住所有人，至少还可以留下一点余响。</x:v>
      </x:c>
      <x:c r="U46" s="24" t="str">
        <x:v>{"combat_energy_cost":80,"invulnerable_duration_real_active_s":3,"cooldown_s":30,"forced_failure_immunity":0}</x:v>
      </x:c>
      <x:c r="V46" s="24" t="str">
        <x:v>https://github.com/zhipijun1996/gunman-rush/blob/26e7f2a4459623f35613a857da8a75e89daa3e62/scripts/resources/state/combat_energy_state.gd</x:v>
      </x:c>
      <x:c r="W46" s="24" t="n">
        <x:f>IF(OR(F46="",G46=""),"",G46-F46)</x:f>
        <x:v>0</x:v>
      </x:c>
      <x:c r="X46" s="24" t="n">
        <x:f>IF(OR(H46="",I46=""),"",I46-H46)</x:f>
        <x:v>0</x:v>
      </x:c>
      <x:c r="Y46" s="24" t="n">
        <x:f>IFERROR(ROUND(I46/G46,1),"")</x:f>
        <x:v>24.3</x:v>
      </x:c>
      <x:c r="Z46" s="24" t="str">
        <x:v>强机制：需整图实测</x:v>
      </x:c>
      <x:c r="AA46" s="24" t="str">
        <x:v>修改</x:v>
      </x:c>
      <x:c r="AB46" s="24" t="str">
        <x:v>设计候选；未声称已实装</x:v>
      </x:c>
    </x:row>
    <x:row r="47" ht="55" customHeight="1">
      <x:c r="A47" s="24" t="n">
        <x:v>53</x:v>
      </x:c>
      <x:c r="B47" s="24" t="str">
        <x:v>P27</x:v>
      </x:c>
      <x:c r="C47" s="24" t="str">
        <x:v>随身修补针</x:v>
      </x:c>
      <x:c r="D47" s="24" t="str">
        <x:v>紫色</x:v>
      </x:c>
      <x:c r="E47" s="24" t="str">
        <x:v>共鸣 / 主动</x:v>
      </x:c>
      <x:c r="F47" s="24" t="n">
        <x:v>2</x:v>
      </x:c>
      <x:c r="G47" s="42" t="n">
        <x:v>2</x:v>
      </x:c>
      <x:c r="H47" s="24" t="n">
        <x:v>75</x:v>
      </x:c>
      <x:c r="I47" s="42" t="n">
        <x:v>48</x:v>
      </x:c>
      <x:c r="J47" s="24" t="str">
        <x:v>否</x:v>
      </x:c>
      <x:c r="K47" s="24" t="n">
        <x:v>1</x:v>
      </x:c>
      <x:c r="L47" s="24" t="str">
        <x:v>消耗65战斗能量恢复1HP；每图最多2次，且不能被卸装刷次数。</x:v>
      </x:c>
      <x:c r="M47" s="24" t="str">
        <x:v>按共鸣技能键且非满血</x:v>
      </x:c>
      <x:c r="N47" s="24" t="str">
        <x:v>蓝血誓言禁用；HP不满才可释放</x:v>
      </x:c>
      <x:c r="O47" s="24" t="str">
        <x:v>共鸣主动系统</x:v>
      </x:c>
      <x:c r="P47" s="24" t="str">
        <x:v>P2</x:v>
      </x:c>
      <x:c r="Q47" s="24" t="str">
        <x:v>65共鸣换1HP每图限2，战斗资源珍贵，48金优于旧75。</x:v>
      </x:c>
      <x:c r="R47" s="24" t="str">
        <x:v>低</x:v>
      </x:c>
      <x:c r="S47" s="24" t="str">
        <x:v>机制已评审；数值建议待试玩</x:v>
      </x:c>
      <x:c r="T47" s="24" t="str">
        <x:v>修钟的人也需要有人为他补上一针。</x:v>
      </x:c>
      <x:c r="U47" s="24" t="str">
        <x:v>{"combat_energy_cost":65,"heal_hp":1,"max_uses_per_map":2}</x:v>
      </x:c>
      <x:c r="V47" s="24" t="str">
        <x:v>https://github.com/zhipijun1996/gunman-rush/blob/26e7f2a4459623f35613a857da8a75e89daa3e62/scripts/resources/state/combat_energy_state.gd</x:v>
      </x:c>
      <x:c r="W47" s="24" t="n">
        <x:f>IF(OR(F47="",G47=""),"",G47-F47)</x:f>
        <x:v>0</x:v>
      </x:c>
      <x:c r="X47" s="24" t="n">
        <x:f>IF(OR(H47="",I47=""),"",I47-H47)</x:f>
        <x:v>-27</x:v>
      </x:c>
      <x:c r="Y47" s="24" t="n">
        <x:f>IFERROR(ROUND(I47/G47,1),"")</x:f>
        <x:v>24</x:v>
      </x:c>
      <x:c r="Z47" s="24" t="str">
        <x:v>数值候选</x:v>
      </x:c>
      <x:c r="AA47" s="24" t="str">
        <x:v>保留</x:v>
      </x:c>
      <x:c r="AB47" s="24" t="str">
        <x:v>设计候选；未声称已实装</x:v>
      </x:c>
    </x:row>
    <x:row r="48" ht="55" customHeight="1">
      <x:c r="A48" s="24" t="n">
        <x:v>55</x:v>
      </x:c>
      <x:c r="B48" s="24" t="str">
        <x:v>G02</x:v>
      </x:c>
      <x:c r="C48" s="24" t="str">
        <x:v>无忧余音</x:v>
      </x:c>
      <x:c r="D48" s="24" t="str">
        <x:v>金色</x:v>
      </x:c>
      <x:c r="E48" s="24" t="str">
        <x:v>护盾/防御</x:v>
      </x:c>
      <x:c r="F48" s="24" t="n">
        <x:v>1</x:v>
      </x:c>
      <x:c r="G48" s="42" t="n">
        <x:v>1</x:v>
      </x:c>
      <x:c r="H48" s="24" t="n">
        <x:v>135</x:v>
      </x:c>
      <x:c r="I48" s="42" t="n">
        <x:v>73</x:v>
      </x:c>
      <x:c r="J48" s="24" t="str">
        <x:v>否</x:v>
      </x:c>
      <x:c r="K48" s="24" t="n">
        <x:v>1</x:v>
      </x:c>
      <x:c r="L48" s="24" t="str">
        <x:v>每累计3次真实HP受伤便获得1点共享临时护盾；累计跨地图，受盾抵挡不计；共享护盾上限3。</x:v>
      </x:c>
      <x:c r="M48" s="24" t="str">
        <x:v>每张地图实际受伤序列</x:v>
      </x:c>
      <x:c r="N48" s="24" t="str">
        <x:v>共享护盾上限3；受护盾抵挡不计受伤次数</x:v>
      </x:c>
      <x:c r="O48" s="24" t="str">
        <x:v>无</x:v>
      </x:c>
      <x:c r="P48" s="24" t="str">
        <x:v>P2</x:v>
      </x:c>
      <x:c r="Q48" s="24" t="str">
        <x:v>每累计3次真HP损失才得1盾，5HP基线触发有风险，1槽配低价。</x:v>
      </x:c>
      <x:c r="R48" s="24" t="str">
        <x:v>高</x:v>
      </x:c>
      <x:c r="S48" s="24" t="str">
        <x:v>机制已评审；数值建议待试玩</x:v>
      </x:c>
      <x:c r="T48" s="24" t="str">
        <x:v>有人忘了害怕，是因为记得另一声温柔的钟。</x:v>
      </x:c>
      <x:c r="U48" s="24" t="str">
        <x:v>{"hits_for_one_barrier":3,"shield_per_trigger":1,"shared_barrier_cap":3}</x:v>
      </x:c>
      <x:c r="V48" s="24" t="str">
        <x:v>https://github.com/zhipijun1996/gunman-rush/blob/26e7f2a4459623f35613a857da8a75e89daa3e62/scripts/combat/weapon_definition.gd</x:v>
      </x:c>
      <x:c r="W48" s="24" t="n">
        <x:f>IF(OR(F48="",G48=""),"",G48-F48)</x:f>
        <x:v>0</x:v>
      </x:c>
      <x:c r="X48" s="24" t="n">
        <x:f>IF(OR(H48="",I48=""),"",I48-H48)</x:f>
        <x:v>-62</x:v>
      </x:c>
      <x:c r="Y48" s="24" t="n">
        <x:f>IFERROR(ROUND(I48/G48,1),"")</x:f>
        <x:v>73</x:v>
      </x:c>
      <x:c r="Z48" s="24" t="str">
        <x:v>强机制：需整图实测</x:v>
      </x:c>
      <x:c r="AA48" s="24" t="str">
        <x:v>修改</x:v>
      </x:c>
      <x:c r="AB48" s="24" t="str">
        <x:v>设计候选；未声称已实装</x:v>
      </x:c>
    </x:row>
    <x:row r="49" ht="55" customHeight="1">
      <x:c r="A49" s="24" t="n">
        <x:v>56</x:v>
      </x:c>
      <x:c r="B49" s="24" t="str">
        <x:v>G03</x:v>
      </x:c>
      <x:c r="C49" s="24" t="str">
        <x:v>春归铃枝</x:v>
      </x:c>
      <x:c r="D49" s="24" t="str">
        <x:v>金色</x:v>
      </x:c>
      <x:c r="E49" s="24" t="str">
        <x:v>生命/恢复</x:v>
      </x:c>
      <x:c r="F49" s="24" t="n">
        <x:v>2</x:v>
      </x:c>
      <x:c r="G49" s="42" t="n">
        <x:v>2</x:v>
      </x:c>
      <x:c r="H49" s="24" t="n">
        <x:v>130</x:v>
      </x:c>
      <x:c r="I49" s="42" t="n">
        <x:v>76</x:v>
      </x:c>
      <x:c r="J49" s="24" t="str">
        <x:v>否</x:v>
      </x:c>
      <x:c r="K49" s="24" t="n">
        <x:v>1</x:v>
      </x:c>
      <x:c r="L49" s="24" t="str">
        <x:v>每张新地图首次进入时恢复1HP；返回旧图/复活/重载不触发；暮钟心契禁止其治疗。</x:v>
      </x:c>
      <x:c r="M49" s="24" t="str">
        <x:v>受伤后持续20秒未再受伤</x:v>
      </x:c>
      <x:c r="N49" s="24" t="str">
        <x:v>不在死亡后触发；不能被卸装备刷</x:v>
      </x:c>
      <x:c r="O49" s="24" t="str">
        <x:v>无</x:v>
      </x:c>
      <x:c r="P49" s="24" t="str">
        <x:v>P2</x:v>
      </x:c>
      <x:c r="Q49" s="24" t="str">
        <x:v>每张新图首次恢复1HP，只有2图时总治疗不多，不能对禁疗誓约生效。</x:v>
      </x:c>
      <x:c r="R49" s="24" t="str">
        <x:v>低</x:v>
      </x:c>
      <x:c r="S49" s="24" t="str">
        <x:v>机制已评审；数值建议待试玩</x:v>
      </x:c>
      <x:c r="T49" s="24" t="str">
        <x:v>旧钟塔的枝头，每逢旅人归来，便会长出一片新的嫩叶。</x:v>
      </x:c>
      <x:c r="U49" s="24" t="str">
        <x:v>{"heal_hp_on_new_map":1,"max_triggers_per_unique_map":1}</x:v>
      </x:c>
      <x:c r="V49" s="24" t="str">
        <x:v>https://github.com/zhipijun1996/gunman-rush/blob/26e7f2a4459623f35613a857da8a75e89daa3e62/resources/actors/prototype_health.tres</x:v>
      </x:c>
      <x:c r="W49" s="24" t="n">
        <x:f>IF(OR(F49="",G49=""),"",G49-F49)</x:f>
        <x:v>0</x:v>
      </x:c>
      <x:c r="X49" s="24" t="n">
        <x:f>IF(OR(H49="",I49=""),"",I49-H49)</x:f>
        <x:v>-54</x:v>
      </x:c>
      <x:c r="Y49" s="24" t="n">
        <x:f>IFERROR(ROUND(I49/G49,1),"")</x:f>
        <x:v>38</x:v>
      </x:c>
      <x:c r="Z49" s="24" t="str">
        <x:v>数值候选</x:v>
      </x:c>
      <x:c r="AA49" s="24" t="str">
        <x:v>修改</x:v>
      </x:c>
      <x:c r="AB49" s="24" t="str">
        <x:v>设计候选；未声称已实装</x:v>
      </x:c>
    </x:row>
    <x:row r="50" ht="55" customHeight="1">
      <x:c r="A50" s="24" t="n">
        <x:v>57</x:v>
      </x:c>
      <x:c r="B50" s="24" t="str">
        <x:v>G04</x:v>
      </x:c>
      <x:c r="C50" s="24" t="str">
        <x:v>零时护心</x:v>
      </x:c>
      <x:c r="D50" s="24" t="str">
        <x:v>金色</x:v>
      </x:c>
      <x:c r="E50" s="24" t="str">
        <x:v>生命 / 防御</x:v>
      </x:c>
      <x:c r="F50" s="24" t="n">
        <x:v>4</x:v>
      </x:c>
      <x:c r="G50" s="42" t="n">
        <x:v>4</x:v>
      </x:c>
      <x:c r="H50" s="24" t="n">
        <x:v>160</x:v>
      </x:c>
      <x:c r="I50" s="42" t="n">
        <x:v>89</x:v>
      </x:c>
      <x:c r="J50" s="24" t="str">
        <x:v>否</x:v>
      </x:c>
      <x:c r="K50" s="24" t="n">
        <x:v>1</x:v>
      </x:c>
      <x:c r="L50" s="24" t="str">
        <x:v>即将因敌方伤害死亡时消耗65战斗能量保留1HP；每图最多一次。</x:v>
      </x:c>
      <x:c r="M50" s="24" t="str">
        <x:v>可抵挡的致死敌人伤害即将提交</x:v>
      </x:c>
      <x:c r="N50" s="24" t="str">
        <x:v>不抵挡世界级必死机关；生命结算同帧原子执行</x:v>
      </x:c>
      <x:c r="O50" s="24" t="str">
        <x:v>共鸣系统已开放</x:v>
      </x:c>
      <x:c r="P50" s="24" t="str">
        <x:v>P1</x:v>
      </x:c>
      <x:c r="Q50" s="24" t="str">
        <x:v>65共鸣抵挡致死攻击每图一次，4槽比普通防御更稳定，保留高售价。</x:v>
      </x:c>
      <x:c r="R50" s="24" t="str">
        <x:v>低</x:v>
      </x:c>
      <x:c r="S50" s="24" t="str">
        <x:v>机制已评审；数值建议待试玩</x:v>
      </x:c>
      <x:c r="T50" s="24" t="str">
        <x:v>钟针停在零点前的一格，为还没说完的话留了片刻。</x:v>
      </x:c>
      <x:c r="U50" s="24" t="str">
        <x:v>{"combat_energy_cost":65,"set_remaining_hp":1,"uses_per_map":1}</x:v>
      </x:c>
      <x:c r="V50" s="24" t="str">
        <x:v>https://github.com/zhipijun1996/gunman-rush/blob/26e7f2a4459623f35613a857da8a75e89daa3e62/scripts/resources/state/combat_energy_state.gd</x:v>
      </x:c>
      <x:c r="W50" s="24" t="n">
        <x:f>IF(OR(F50="",G50=""),"",G50-F50)</x:f>
        <x:v>0</x:v>
      </x:c>
      <x:c r="X50" s="24" t="n">
        <x:f>IF(OR(H50="",I50=""),"",I50-H50)</x:f>
        <x:v>-71</x:v>
      </x:c>
      <x:c r="Y50" s="24" t="n">
        <x:f>IFERROR(ROUND(I50/G50,1),"")</x:f>
        <x:v>22.3</x:v>
      </x:c>
      <x:c r="Z50" s="24" t="str">
        <x:v>数值候选</x:v>
      </x:c>
      <x:c r="AA50" s="24" t="str">
        <x:v>保留</x:v>
      </x:c>
      <x:c r="AB50" s="24" t="str">
        <x:v>设计候选；未声称已实装</x:v>
      </x:c>
    </x:row>
    <x:row r="51" ht="55" customHeight="1">
      <x:c r="A51" s="24" t="n">
        <x:v>58</x:v>
      </x:c>
      <x:c r="B51" s="24" t="str">
        <x:v>G11</x:v>
      </x:c>
      <x:c r="C51" s="24" t="str">
        <x:v>不朽心匣</x:v>
      </x:c>
      <x:c r="D51" s="24" t="str">
        <x:v>金色</x:v>
      </x:c>
      <x:c r="E51" s="24" t="str">
        <x:v>生命 / 防御</x:v>
      </x:c>
      <x:c r="F51" s="24" t="n">
        <x:v>2</x:v>
      </x:c>
      <x:c r="G51" s="42" t="n">
        <x:v>2</x:v>
      </x:c>
      <x:c r="H51" s="24" t="n">
        <x:v>125</x:v>
      </x:c>
      <x:c r="I51" s="42" t="n">
        <x:v>75</x:v>
      </x:c>
      <x:c r="J51" s="24" t="str">
        <x:v>否</x:v>
      </x:c>
      <x:c r="K51" s="24" t="n">
        <x:v>1</x:v>
      </x:c>
      <x:c r="L51" s="24" t="str">
        <x:v>最大HP+3，无破损</x:v>
      </x:c>
      <x:c r="M51" s="24" t="str">
        <x:v>装备生效</x:v>
      </x:c>
      <x:c r="N51" s="24" t="str">
        <x:v>与易裂心匣互斥；卸装不能回血</x:v>
      </x:c>
      <x:c r="O51" s="24" t="str">
        <x:v>无</x:v>
      </x:c>
      <x:c r="P51" s="24" t="str">
        <x:v>P2</x:v>
      </x:c>
      <x:c r="Q51" s="24" t="str">
        <x:v>永久+3HP无破损且2槽比蓝色Lv3省收集次数，75金币值得。</x:v>
      </x:c>
      <x:c r="R51" s="24" t="str">
        <x:v>低</x:v>
      </x:c>
      <x:c r="S51" s="24" t="str">
        <x:v>机制已评审；数值建议待试玩</x:v>
      </x:c>
      <x:c r="T51" s="24" t="str">
        <x:v>不朽只是钟匠的愿望，铜匣却当了真。</x:v>
      </x:c>
      <x:c r="U51" s="24" t="str">
        <x:v>{"max_hp_add":3}</x:v>
      </x:c>
      <x:c r="V51" s="24" t="str">
        <x:v>https://github.com/zhipijun1996/gunman-rush/blob/26e7f2a4459623f35613a857da8a75e89daa3e62/resources/actors/prototype_health.tres</x:v>
      </x:c>
      <x:c r="W51" s="24" t="n">
        <x:f>IF(OR(F51="",G51=""),"",G51-F51)</x:f>
        <x:v>0</x:v>
      </x:c>
      <x:c r="X51" s="24" t="n">
        <x:f>IF(OR(H51="",I51=""),"",I51-H51)</x:f>
        <x:v>-50</x:v>
      </x:c>
      <x:c r="Y51" s="24" t="n">
        <x:f>IFERROR(ROUND(I51/G51,1),"")</x:f>
        <x:v>37.5</x:v>
      </x:c>
      <x:c r="Z51" s="24" t="str">
        <x:v>数值候选</x:v>
      </x:c>
      <x:c r="AA51" s="24" t="str">
        <x:v>保留</x:v>
      </x:c>
      <x:c r="AB51" s="24" t="str">
        <x:v>设计候选；未声称已实装</x:v>
      </x:c>
    </x:row>
    <x:row r="52" ht="55" customHeight="1">
      <x:c r="A52" s="24" t="n">
        <x:v>60</x:v>
      </x:c>
      <x:c r="B52" s="24" t="str">
        <x:v>P05</x:v>
      </x:c>
      <x:c r="C52" s="24" t="str">
        <x:v>末息轮芯</x:v>
      </x:c>
      <x:c r="D52" s="24" t="str">
        <x:v>紫色</x:v>
      </x:c>
      <x:c r="E52" s="24" t="str">
        <x:v>其他 / 通用</x:v>
      </x:c>
      <x:c r="F52" s="24" t="n">
        <x:v>2</x:v>
      </x:c>
      <x:c r="G52" s="42" t="n">
        <x:v>2</x:v>
      </x:c>
      <x:c r="H52" s="24" t="n">
        <x:v>68</x:v>
      </x:c>
      <x:c r="I52" s="42" t="n">
        <x:v>51</x:v>
      </x:c>
      <x:c r="J52" s="24" t="str">
        <x:v>否</x:v>
      </x:c>
      <x:c r="K52" s="24" t="n">
        <x:v>1</x:v>
      </x:c>
      <x:c r="L52" s="24" t="str">
        <x:v>HP≤40%时主攻直接伤害×1.35；初始5HP下通常对应≤2HP。</x:v>
      </x:c>
      <x:c r="M52" s="24" t="str">
        <x:v>当前HP≤最大HP的30%</x:v>
      </x:c>
      <x:c r="N52" s="24" t="str">
        <x:v>实时启停；和满血效果分属不同血量档</x:v>
      </x:c>
      <x:c r="O52" s="24" t="str">
        <x:v>任意攻击武器</x:v>
      </x:c>
      <x:c r="P52" s="24" t="str">
        <x:v>P1</x:v>
      </x:c>
      <x:c r="Q52" s="24" t="str">
        <x:v>HP≤40%伤害+35%，5血时≤2HP高死亡风险，51金币合理。</x:v>
      </x:c>
      <x:c r="R52" s="24" t="str">
        <x:v>低</x:v>
      </x:c>
      <x:c r="S52" s="24" t="str">
        <x:v>机制已评审；数值建议待试玩</x:v>
      </x:c>
      <x:c r="T52" s="24" t="str">
        <x:v>钟停之前，最后一次摆动总是最用力的。</x:v>
      </x:c>
      <x:c r="U52" s="24" t="str">
        <x:v>{"hp_ratio_threshold":0.4,"primary_damage_multiplier":1.35}</x:v>
      </x:c>
      <x:c r="V52" s="24" t="str">
        <x:v>https://github.com/zhipijun1996/gunman-rush/blob/26e7f2a4459623f35613a857da8a75e89daa3e62/scripts/combat/weapon_definition.gd</x:v>
      </x:c>
      <x:c r="W52" s="24" t="n">
        <x:f>IF(OR(F52="",G52=""),"",G52-F52)</x:f>
        <x:v>0</x:v>
      </x:c>
      <x:c r="X52" s="24" t="n">
        <x:f>IF(OR(H52="",I52=""),"",I52-H52)</x:f>
        <x:v>-17</x:v>
      </x:c>
      <x:c r="Y52" s="24" t="n">
        <x:f>IFERROR(ROUND(I52/G52,1),"")</x:f>
        <x:v>25.5</x:v>
      </x:c>
      <x:c r="Z52" s="24" t="str">
        <x:v>数值候选</x:v>
      </x:c>
      <x:c r="AA52" s="24" t="str">
        <x:v>保留</x:v>
      </x:c>
      <x:c r="AB52" s="24" t="str">
        <x:v>设计候选；未声称已实装</x:v>
      </x:c>
    </x:row>
    <x:row r="53" ht="55" customHeight="1">
      <x:c r="A53" s="24" t="n">
        <x:v>61</x:v>
      </x:c>
      <x:c r="B53" s="24" t="str">
        <x:v>B24</x:v>
      </x:c>
      <x:c r="C53" s="24" t="str">
        <x:v>余火枪片</x:v>
      </x:c>
      <x:c r="D53" s="24" t="str">
        <x:v>蓝色</x:v>
      </x:c>
      <x:c r="E53" s="24" t="str">
        <x:v>持续 / 元素</x:v>
      </x:c>
      <x:c r="F53" s="24" t="n">
        <x:v>2</x:v>
      </x:c>
      <x:c r="G53" s="42" t="n">
        <x:v>2</x:v>
      </x:c>
      <x:c r="H53" s="24" t="n">
        <x:v>36</x:v>
      </x:c>
      <x:c r="I53" s="42" t="n">
        <x:v>31</x:v>
      </x:c>
      <x:c r="J53" s="24" t="str">
        <x:v>否</x:v>
      </x:c>
      <x:c r="K53" s="24" t="n">
        <x:v>1</x:v>
      </x:c>
      <x:c r="L53" s="24" t="str">
        <x:v>主攻命中附加3秒余火，总伤害0.35D，3秒内部冷却，不触发二次产能。</x:v>
      </x:c>
      <x:c r="M53" s="24" t="str">
        <x:v>有效主攻命中</x:v>
      </x:c>
      <x:c r="N53" s="24" t="str">
        <x:v>同目标只刷新不堆叠；副伤不回能</x:v>
      </x:c>
      <x:c r="O53" s="24" t="str">
        <x:v>任意攻击武器</x:v>
      </x:c>
      <x:c r="P53" s="24" t="str">
        <x:v>P1</x:v>
      </x:c>
      <x:c r="Q53" s="24" t="str">
        <x:v>三秒燃烧仅0.35D，对1D基础并不强；低价让持续伤害作辅助。</x:v>
      </x:c>
      <x:c r="R53" s="24" t="str">
        <x:v>低</x:v>
      </x:c>
      <x:c r="S53" s="24" t="str">
        <x:v>机制已评审；数值建议待试玩</x:v>
      </x:c>
      <x:c r="T53" s="24" t="str">
        <x:v>熄灭的炉膛里，藏着一枚不肯冷下来的红铜片。</x:v>
      </x:c>
      <x:c r="U53" s="24" t="str">
        <x:v>{"total_dot_damage_ratio_D":0.35,"dot_duration_s":3}</x:v>
      </x:c>
      <x:c r="V53" s="24" t="str">
        <x:v>https://github.com/zhipijun1996/gunman-rush/blob/26e7f2a4459623f35613a857da8a75e89daa3e62/scripts/combat/weapon_definition.gd</x:v>
      </x:c>
      <x:c r="W53" s="24" t="n">
        <x:f>IF(OR(F53="",G53=""),"",G53-F53)</x:f>
        <x:v>0</x:v>
      </x:c>
      <x:c r="X53" s="24" t="n">
        <x:f>IF(OR(H53="",I53=""),"",I53-H53)</x:f>
        <x:v>-5</x:v>
      </x:c>
      <x:c r="Y53" s="24" t="n">
        <x:f>IFERROR(ROUND(I53/G53,1),"")</x:f>
        <x:v>15.5</x:v>
      </x:c>
      <x:c r="Z53" s="24" t="str">
        <x:v>数值候选</x:v>
      </x:c>
      <x:c r="AA53" s="24" t="str">
        <x:v>保留</x:v>
      </x:c>
      <x:c r="AB53" s="24" t="str">
        <x:v>设计候选；未声称已实装</x:v>
      </x:c>
    </x:row>
    <x:row r="54" ht="55" customHeight="1">
      <x:c r="A54" s="24" t="n">
        <x:v>62</x:v>
      </x:c>
      <x:c r="B54" s="24" t="str">
        <x:v>P09</x:v>
      </x:c>
      <x:c r="C54" s="24" t="str">
        <x:v>弹震继电匣</x:v>
      </x:c>
      <x:c r="D54" s="24" t="str">
        <x:v>紫色</x:v>
      </x:c>
      <x:c r="E54" s="24" t="str">
        <x:v>其他 / 通用</x:v>
      </x:c>
      <x:c r="F54" s="24" t="n">
        <x:v>3</x:v>
      </x:c>
      <x:c r="G54" s="42" t="n">
        <x:v>3</x:v>
      </x:c>
      <x:c r="H54" s="24" t="n">
        <x:v>70</x:v>
      </x:c>
      <x:c r="I54" s="42" t="n">
        <x:v>53</x:v>
      </x:c>
      <x:c r="J54" s="24" t="str">
        <x:v>否</x:v>
      </x:c>
      <x:c r="K54" s="24" t="n">
        <x:v>1</x:v>
      </x:c>
      <x:c r="L54" s="24" t="str">
        <x:v>主攻命中后引发88半径的继电爆震，0.30D，CD3秒；同攻击包最多一次、无递归。</x:v>
      </x:c>
      <x:c r="M54" s="24" t="str">
        <x:v>本次主动主攻首次有效命中</x:v>
      </x:c>
      <x:c r="N54" s="24" t="str">
        <x:v>派生爆炸不回能不再触发巡钟装置</x:v>
      </x:c>
      <x:c r="O54" s="24" t="str">
        <x:v>任意攻击武器</x:v>
      </x:c>
      <x:c r="P54" s="24" t="str">
        <x:v>P1</x:v>
      </x:c>
      <x:c r="Q54" s="24" t="str">
        <x:v>3秒CD的小范围爆炸比直伤适合清群怪；已有连锁电击，两者差异保留。</x:v>
      </x:c>
      <x:c r="R54" s="24" t="str">
        <x:v>低</x:v>
      </x:c>
      <x:c r="S54" s="24" t="str">
        <x:v>机制已评审；数值建议待试玩</x:v>
      </x:c>
      <x:c r="T54" s="24" t="str">
        <x:v>每个继电齿核都储藏着一声急促雷鸣。</x:v>
      </x:c>
      <x:c r="U54" s="24" t="str">
        <x:v>{"explosion_damage_ratio_D":0.3,"radius_px":88,"cooldown_s":3}</x:v>
      </x:c>
      <x:c r="V54" s="24" t="str">
        <x:v>https://github.com/zhipijun1996/gunman-rush/blob/26e7f2a4459623f35613a857da8a75e89daa3e62/scripts/combat/weapon_definition.gd</x:v>
      </x:c>
      <x:c r="W54" s="24" t="n">
        <x:f>IF(OR(F54="",G54=""),"",G54-F54)</x:f>
        <x:v>0</x:v>
      </x:c>
      <x:c r="X54" s="24" t="n">
        <x:f>IF(OR(H54="",I54=""),"",I54-H54)</x:f>
        <x:v>-17</x:v>
      </x:c>
      <x:c r="Y54" s="24" t="n">
        <x:f>IFERROR(ROUND(I54/G54,1),"")</x:f>
        <x:v>17.7</x:v>
      </x:c>
      <x:c r="Z54" s="24" t="str">
        <x:v>数值候选</x:v>
      </x:c>
      <x:c r="AA54" s="24" t="str">
        <x:v>保留</x:v>
      </x:c>
      <x:c r="AB54" s="24" t="str">
        <x:v>设计候选；未声称已实装</x:v>
      </x:c>
    </x:row>
    <x:row r="55" ht="55" customHeight="1">
      <x:c r="A55" s="24" t="n">
        <x:v>63</x:v>
      </x:c>
      <x:c r="B55" s="24" t="str">
        <x:v>P10</x:v>
      </x:c>
      <x:c r="C55" s="24" t="str">
        <x:v>腐蚀尾铃</x:v>
      </x:c>
      <x:c r="D55" s="24" t="str">
        <x:v>紫色</x:v>
      </x:c>
      <x:c r="E55" s="24" t="str">
        <x:v>持续 / 元素</x:v>
      </x:c>
      <x:c r="F55" s="24" t="n">
        <x:v>2</x:v>
      </x:c>
      <x:c r="G55" s="42" t="n">
        <x:v>2</x:v>
      </x:c>
      <x:c r="H55" s="24" t="n">
        <x:v>64</x:v>
      </x:c>
      <x:c r="I55" s="42" t="n">
        <x:v>48</x:v>
      </x:c>
      <x:c r="J55" s="24" t="str">
        <x:v>否</x:v>
      </x:c>
      <x:c r="K55" s="24" t="n">
        <x:v>1</x:v>
      </x:c>
      <x:c r="L55" s="24" t="str">
        <x:v>技能触发生成3秒腐蚀云，半径75，每秒造成0.15D；不产生战斗能量。</x:v>
      </x:c>
      <x:c r="M55" s="24" t="str">
        <x:v>发动主动技能后5秒内首次主攻命中</x:v>
      </x:c>
      <x:c r="N55" s="24" t="str">
        <x:v>每次主动最多1云；毒云不回能</x:v>
      </x:c>
      <x:c r="O55" s="24" t="str">
        <x:v>任意主动技能</x:v>
      </x:c>
      <x:c r="P55" s="24" t="str">
        <x:v>P2</x:v>
      </x:c>
      <x:c r="Q55" s="24" t="str">
        <x:v>必须先用主动技能5秒内命中，再成云，触发较复杂；48金降低获取门槛。</x:v>
      </x:c>
      <x:c r="R55" s="24" t="str">
        <x:v>低</x:v>
      </x:c>
      <x:c r="S55" s="24" t="str">
        <x:v>机制已评审；数值建议待试玩</x:v>
      </x:c>
      <x:c r="T55" s="24" t="str">
        <x:v>昔日守钟人的纹章，已长出潮湿的铁锈味。</x:v>
      </x:c>
      <x:c r="U55" s="24" t="str">
        <x:v>{"primed_window_s":5,"cloud_duration_s":3,"cloud_radius_px":75,"dot_damage_per_second_ratio_D":0.15}</x:v>
      </x:c>
      <x:c r="V55" s="24" t="str">
        <x:v>https://github.com/zhipijun1996/gunman-rush/blob/26e7f2a4459623f35613a857da8a75e89daa3e62/scripts/combat/weapon_definition.gd</x:v>
      </x:c>
      <x:c r="W55" s="24" t="n">
        <x:f>IF(OR(F55="",G55=""),"",G55-F55)</x:f>
        <x:v>0</x:v>
      </x:c>
      <x:c r="X55" s="24" t="n">
        <x:f>IF(OR(H55="",I55=""),"",I55-H55)</x:f>
        <x:v>-16</x:v>
      </x:c>
      <x:c r="Y55" s="24" t="n">
        <x:f>IFERROR(ROUND(I55/G55,1),"")</x:f>
        <x:v>24</x:v>
      </x:c>
      <x:c r="Z55" s="24" t="str">
        <x:v>数值候选</x:v>
      </x:c>
      <x:c r="AA55" s="24" t="str">
        <x:v>保留</x:v>
      </x:c>
      <x:c r="AB55" s="24" t="str">
        <x:v>设计候选；未声称已实装</x:v>
      </x:c>
    </x:row>
    <x:row r="56" ht="55" customHeight="1">
      <x:c r="A56" s="24" t="n">
        <x:v>65</x:v>
      </x:c>
      <x:c r="B56" s="24" t="str">
        <x:v>P14</x:v>
      </x:c>
      <x:c r="C56" s="24" t="str">
        <x:v>游钟机群</x:v>
      </x:c>
      <x:c r="D56" s="24" t="str">
        <x:v>紫色</x:v>
      </x:c>
      <x:c r="E56" s="24" t="str">
        <x:v>机械无人机</x:v>
      </x:c>
      <x:c r="F56" s="24" t="n">
        <x:v>3</x:v>
      </x:c>
      <x:c r="G56" s="42" t="n">
        <x:v>3</x:v>
      </x:c>
      <x:c r="H56" s="24" t="n">
        <x:v>75</x:v>
      </x:c>
      <x:c r="I56" s="42" t="n">
        <x:v>54</x:v>
      </x:c>
      <x:c r="J56" s="24" t="str">
        <x:v>否</x:v>
      </x:c>
      <x:c r="K56" s="24" t="n">
        <x:v>1</x:v>
      </x:c>
      <x:c r="L56" s="24" t="str">
        <x:v>装备期间跟随3台小型游钟无人机，每台1.5秒一次0.12D；不产共鸣，卸下消失。</x:v>
      </x:c>
      <x:c r="M56" s="24" t="str">
        <x:v>装备时/新地图进入</x:v>
      </x:c>
      <x:c r="N56" s="24" t="str">
        <x:v>召唤物不产主攻共鸣，不跨地图复制</x:v>
      </x:c>
      <x:c r="O56" s="24" t="str">
        <x:v>召唤系统</x:v>
      </x:c>
      <x:c r="P56" s="24" t="str">
        <x:v>P2</x:v>
      </x:c>
      <x:c r="Q56" s="24" t="str">
        <x:v>三台小巡钟机合计DPS0.24D/秒、每击0.12D，弱于玩家但常驻安全输出。</x:v>
      </x:c>
      <x:c r="R56" s="24" t="str">
        <x:v>中</x:v>
      </x:c>
      <x:c r="S56" s="24" t="str">
        <x:v>机制已评审；数值建议待试玩</x:v>
      </x:c>
      <x:c r="T56" s="24" t="str">
        <x:v>旧王国的三台微型巡钟机，仍围绕旅人小心地寻找故障的齿轮。</x:v>
      </x:c>
      <x:c r="U56" s="24" t="str">
        <x:v>{"small_drone_count":3,"attack_interval_s":1.5,"attack_damage_ratio_D":0.12}</x:v>
      </x:c>
      <x:c r="V56" s="24" t="str">
        <x:v>https://github.com/zhipijun1996/gunman-rush/blob/26e7f2a4459623f35613a857da8a75e89daa3e62/scripts/combat/weapon_definition.gd</x:v>
      </x:c>
      <x:c r="W56" s="24" t="n">
        <x:f>IF(OR(F56="",G56=""),"",G56-F56)</x:f>
        <x:v>0</x:v>
      </x:c>
      <x:c r="X56" s="24" t="n">
        <x:f>IF(OR(H56="",I56=""),"",I56-H56)</x:f>
        <x:v>-21</x:v>
      </x:c>
      <x:c r="Y56" s="24" t="n">
        <x:f>IFERROR(ROUND(I56/G56,1),"")</x:f>
        <x:v>18</x:v>
      </x:c>
      <x:c r="Z56" s="24" t="str">
        <x:v>数值候选</x:v>
      </x:c>
      <x:c r="AA56" s="24" t="str">
        <x:v>保留</x:v>
      </x:c>
      <x:c r="AB56" s="24" t="str">
        <x:v>设计候选；未声称已实装</x:v>
      </x:c>
    </x:row>
    <x:row r="57" ht="55" customHeight="1">
      <x:c r="A57" s="24" t="n">
        <x:v>66</x:v>
      </x:c>
      <x:c r="B57" s="24" t="str">
        <x:v>P15</x:v>
      </x:c>
      <x:c r="C57" s="24" t="str">
        <x:v>续鸣装配匣</x:v>
      </x:c>
      <x:c r="D57" s="24" t="str">
        <x:v>紫色</x:v>
      </x:c>
      <x:c r="E57" s="24" t="str">
        <x:v>机械无人机</x:v>
      </x:c>
      <x:c r="F57" s="24" t="n">
        <x:v>3</x:v>
      </x:c>
      <x:c r="G57" s="42" t="n">
        <x:v>3</x:v>
      </x:c>
      <x:c r="H57" s="24" t="n">
        <x:v>78</x:v>
      </x:c>
      <x:c r="I57" s="42" t="n">
        <x:v>52</x:v>
      </x:c>
      <x:c r="J57" s="24" t="str">
        <x:v>否</x:v>
      </x:c>
      <x:c r="K57" s="24" t="n">
        <x:v>1</x:v>
      </x:c>
      <x:c r="L57" s="24" t="str">
        <x:v>实际消耗每累计45共鸣产生一台临时巡钟无人机，持续8秒、单次0.35D，同场最多2台。</x:v>
      </x:c>
      <x:c r="M57" s="24" t="str">
        <x:v>实际消耗共鸣累计40</x:v>
      </x:c>
      <x:c r="N57" s="24" t="str">
        <x:v>未满阈值累积额保留；不会用召唤伤害返还共鸣</x:v>
      </x:c>
      <x:c r="O57" s="24" t="str">
        <x:v>共鸣与召唤系统</x:v>
      </x:c>
      <x:c r="P57" s="24" t="str">
        <x:v>P2</x:v>
      </x:c>
      <x:c r="Q57" s="24" t="str">
        <x:v>消耗45共鸣才产临时机，8秒持续、双机上限，偏技能联动不应过贵。</x:v>
      </x:c>
      <x:c r="R57" s="24" t="str">
        <x:v>中</x:v>
      </x:c>
      <x:c r="S57" s="24" t="str">
        <x:v>机制已评审；数值建议待试玩</x:v>
      </x:c>
      <x:c r="T57" s="24" t="str">
        <x:v>每当钟声被消耗，装配匣便把余响拼成一台临时巡钟机。</x:v>
      </x:c>
      <x:c r="U57" s="24" t="str">
        <x:v>{"combat_energy_spent_threshold":45,"temp_drone_lifetime_s":8,"temp_drone_damage_ratio_D":0.35,"max_temp_drones":2}</x:v>
      </x:c>
      <x:c r="V57" s="24" t="str">
        <x:v>https://github.com/zhipijun1996/gunman-rush/blob/26e7f2a4459623f35613a857da8a75e89daa3e62/scripts/resources/state/combat_energy_state.gd</x:v>
      </x:c>
      <x:c r="W57" s="24" t="n">
        <x:f>IF(OR(F57="",G57=""),"",G57-F57)</x:f>
        <x:v>0</x:v>
      </x:c>
      <x:c r="X57" s="24" t="n">
        <x:f>IF(OR(H57="",I57=""),"",I57-H57)</x:f>
        <x:v>-26</x:v>
      </x:c>
      <x:c r="Y57" s="24" t="n">
        <x:f>IFERROR(ROUND(I57/G57,1),"")</x:f>
        <x:v>17.3</x:v>
      </x:c>
      <x:c r="Z57" s="24" t="str">
        <x:v>数值候选</x:v>
      </x:c>
      <x:c r="AA57" s="24" t="str">
        <x:v>保留</x:v>
      </x:c>
      <x:c r="AB57" s="24" t="str">
        <x:v>设计候选；未声称已实装</x:v>
      </x:c>
    </x:row>
    <x:row r="58" ht="55" customHeight="1">
      <x:c r="A58" s="24" t="n">
        <x:v>67</x:v>
      </x:c>
      <x:c r="B58" s="24" t="str">
        <x:v>P16</x:v>
      </x:c>
      <x:c r="C58" s="24" t="str">
        <x:v>循时梦盾</x:v>
      </x:c>
      <x:c r="D58" s="24" t="str">
        <x:v>紫色</x:v>
      </x:c>
      <x:c r="E58" s="24" t="str">
        <x:v>召唤 / 伙伴</x:v>
      </x:c>
      <x:c r="F58" s="24" t="n">
        <x:v>4</x:v>
      </x:c>
      <x:c r="G58" s="42" t="n">
        <x:v>3</x:v>
      </x:c>
      <x:c r="H58" s="24" t="n">
        <x:v>77</x:v>
      </x:c>
      <x:c r="I58" s="42" t="n">
        <x:v>50</x:v>
      </x:c>
      <x:c r="J58" s="24" t="str">
        <x:v>否</x:v>
      </x:c>
      <x:c r="K58" s="24" t="n">
        <x:v>1</x:v>
      </x:c>
      <x:c r="L58" s="24" t="str">
        <x:v>拦截一颗敌方弹体</x:v>
      </x:c>
      <x:c r="M58" s="24" t="str">
        <x:v>敌方可拦截飞弹接触环绕体</x:v>
      </x:c>
      <x:c r="N58" s="24" t="str">
        <x:v>不拦Boss不可拦截招式/荆棘等环境陷阱</x:v>
      </x:c>
      <x:c r="O58" s="24" t="str">
        <x:v>防护系统</x:v>
      </x:c>
      <x:c r="P58" s="24" t="str">
        <x:v>P2</x:v>
      </x:c>
      <x:c r="Q58" s="24" t="str">
        <x:v>12秒自动拦截一次敌方弹体，不防身体/荆棘，原4槽过重建议3槽。</x:v>
      </x:c>
      <x:c r="R58" s="24" t="str">
        <x:v>中</x:v>
      </x:c>
      <x:c r="S58" s="24" t="str">
        <x:v>机制已评审；数值建议待试玩</x:v>
      </x:c>
      <x:c r="T58" s="24" t="str">
        <x:v>守钟人的影子先于本人出现，替他接住一颗流星。</x:v>
      </x:c>
      <x:c r="U58" s="24" t="str">
        <x:v>{"orbit_radius_px":60,"projectile_blocks_per_cooldown":1}</x:v>
      </x:c>
      <x:c r="V58" s="24" t="str">
        <x:v>https://github.com/zhipijun1996/gunman-rush/blob/26e7f2a4459623f35613a857da8a75e89daa3e62/scripts/combat/weapon_definition.gd</x:v>
      </x:c>
      <x:c r="W58" s="24" t="n">
        <x:f>IF(OR(F58="",G58=""),"",G58-F58)</x:f>
        <x:v>-1</x:v>
      </x:c>
      <x:c r="X58" s="24" t="n">
        <x:f>IF(OR(H58="",I58=""),"",I58-H58)</x:f>
        <x:v>-27</x:v>
      </x:c>
      <x:c r="Y58" s="24" t="n">
        <x:f>IFERROR(ROUND(I58/G58,1),"")</x:f>
        <x:v>16.7</x:v>
      </x:c>
      <x:c r="Z58" s="24" t="str">
        <x:v>数值候选</x:v>
      </x:c>
      <x:c r="AA58" s="24" t="str">
        <x:v>保留</x:v>
      </x:c>
      <x:c r="AB58" s="24" t="str">
        <x:v>设计候选；未声称已实装</x:v>
      </x:c>
    </x:row>
    <x:row r="59" ht="55" customHeight="1">
      <x:c r="A59" s="24" t="n">
        <x:v>69</x:v>
      </x:c>
      <x:c r="B59" s="24" t="str">
        <x:v>G05</x:v>
      </x:c>
      <x:c r="C59" s="24" t="str">
        <x:v>永恒钟卫</x:v>
      </x:c>
      <x:c r="D59" s="24" t="str">
        <x:v>金色</x:v>
      </x:c>
      <x:c r="E59" s="24" t="str">
        <x:v>机械无人机</x:v>
      </x:c>
      <x:c r="F59" s="24" t="n">
        <x:v>5</x:v>
      </x:c>
      <x:c r="G59" s="42" t="n">
        <x:v>5</x:v>
      </x:c>
      <x:c r="H59" s="24" t="n">
        <x:v>160</x:v>
      </x:c>
      <x:c r="I59" s="42" t="n">
        <x:v>92</x:v>
      </x:c>
      <x:c r="J59" s="24" t="str">
        <x:v>否</x:v>
      </x:c>
      <x:c r="K59" s="24" t="n">
        <x:v>1</x:v>
      </x:c>
      <x:c r="L59" s="24" t="str">
        <x:v>主动消耗50战斗共鸣召唤1台大型钟卫；持续18秒、攻击间隔1.8秒、每击0.60D，CD12秒，同场最多1台。</x:v>
      </x:c>
      <x:c r="M59" s="24" t="str">
        <x:v>按共鸣技能键</x:v>
      </x:c>
      <x:c r="N59" s="24" t="str">
        <x:v>不自动无限繁殖；伴机伤害不供主攻能量</x:v>
      </x:c>
      <x:c r="O59" s="24" t="str">
        <x:v>共鸣与召唤系统</x:v>
      </x:c>
      <x:c r="P59" s="24" t="str">
        <x:v>P3</x:v>
      </x:c>
      <x:c r="Q59" s="24" t="str">
        <x:v>仅一台大型钟卫，一次18秒、每1.8秒0.6D，50共鸣消耗较高，92金。</x:v>
      </x:c>
      <x:c r="R59" s="24" t="str">
        <x:v>中</x:v>
      </x:c>
      <x:c r="S59" s="24" t="str">
        <x:v>机制已评审；数值建议待试玩</x:v>
      </x:c>
      <x:c r="T59" s="24" t="str">
        <x:v>王国的守钟人早已离去，巨大的黄铜卫机却仍在等待下一道命令。</x:v>
      </x:c>
      <x:c r="U59" s="24" t="str">
        <x:v>{"combat_energy_cost":50,"lifetime_s":18,"attack_interval_s":1.8,"attack_damage_ratio_D":0.6,"max_large_drones":1,"skill_cooldown_s":12}</x:v>
      </x:c>
      <x:c r="V59" s="24" t="str">
        <x:v>https://github.com/zhipijun1996/gunman-rush/blob/26e7f2a4459623f35613a857da8a75e89daa3e62/scripts/resources/state/combat_energy_state.gd</x:v>
      </x:c>
      <x:c r="W59" s="24" t="n">
        <x:f>IF(OR(F59="",G59=""),"",G59-F59)</x:f>
        <x:v>0</x:v>
      </x:c>
      <x:c r="X59" s="24" t="n">
        <x:f>IF(OR(H59="",I59=""),"",I59-H59)</x:f>
        <x:v>-68</x:v>
      </x:c>
      <x:c r="Y59" s="24" t="n">
        <x:f>IFERROR(ROUND(I59/G59,1),"")</x:f>
        <x:v>18.4</x:v>
      </x:c>
      <x:c r="Z59" s="24" t="str">
        <x:v>数值候选</x:v>
      </x:c>
      <x:c r="AA59" s="24" t="str">
        <x:v>保留</x:v>
      </x:c>
      <x:c r="AB59" s="24" t="str">
        <x:v>设计候选；未声称已实装</x:v>
      </x:c>
    </x:row>
    <x:row r="60" ht="55" customHeight="1">
      <x:c r="A60" s="24" t="n">
        <x:v>70</x:v>
      </x:c>
      <x:c r="B60" s="24" t="str">
        <x:v>G06</x:v>
      </x:c>
      <x:c r="C60" s="24" t="str">
        <x:v>千鸣钟冠</x:v>
      </x:c>
      <x:c r="D60" s="24" t="str">
        <x:v>金色</x:v>
      </x:c>
      <x:c r="E60" s="24" t="str">
        <x:v>其他 / 通用</x:v>
      </x:c>
      <x:c r="F60" s="24" t="n">
        <x:v>3</x:v>
      </x:c>
      <x:c r="G60" s="42" t="n">
        <x:v>3</x:v>
      </x:c>
      <x:c r="H60" s="24" t="n">
        <x:v>145</x:v>
      </x:c>
      <x:c r="I60" s="42" t="n">
        <x:v>83</x:v>
      </x:c>
      <x:c r="J60" s="24" t="str">
        <x:v>否</x:v>
      </x:c>
      <x:c r="K60" s="24" t="n">
        <x:v>1</x:v>
      </x:c>
      <x:c r="L60" s="24" t="str">
        <x:v>合法主攻命中最多弹射3个额外目标，每个0.25D；1.5秒CD、不再产生战斗能量。</x:v>
      </x:c>
      <x:c r="M60" s="24" t="str">
        <x:v>本次主动主攻首次有效命中</x:v>
      </x:c>
      <x:c r="N60" s="24" t="str">
        <x:v>连锁副伤不得再次触发连锁/回能</x:v>
      </x:c>
      <x:c r="O60" s="24" t="str">
        <x:v>任意攻击武器</x:v>
      </x:c>
      <x:c r="P60" s="24" t="str">
        <x:v>P2</x:v>
      </x:c>
      <x:c r="Q60" s="24" t="str">
        <x:v>被动3目标各0.25D链伤、1.5秒CD，高性价比但只对群怪，有Boss短板。</x:v>
      </x:c>
      <x:c r="R60" s="24" t="str">
        <x:v>低</x:v>
      </x:c>
      <x:c r="S60" s="24" t="str">
        <x:v>机制已评审；数值建议待试玩</x:v>
      </x:c>
      <x:c r="T60" s="24" t="str">
        <x:v>每个被遗忘的钟，都想借别人的声音再响一次。</x:v>
      </x:c>
      <x:c r="U60" s="24" t="str">
        <x:v>{"chain_targets":3,"chain_damage_ratio_D":0.25,"chain_radius_px":160}</x:v>
      </x:c>
      <x:c r="V60" s="24" t="str">
        <x:v>https://github.com/zhipijun1996/gunman-rush/blob/26e7f2a4459623f35613a857da8a75e89daa3e62/scripts/combat/weapon_definition.gd</x:v>
      </x:c>
      <x:c r="W60" s="24" t="n">
        <x:f>IF(OR(F60="",G60=""),"",G60-F60)</x:f>
        <x:v>0</x:v>
      </x:c>
      <x:c r="X60" s="24" t="n">
        <x:f>IF(OR(H60="",I60=""),"",I60-H60)</x:f>
        <x:v>-62</x:v>
      </x:c>
      <x:c r="Y60" s="24" t="n">
        <x:f>IFERROR(ROUND(I60/G60,1),"")</x:f>
        <x:v>27.7</x:v>
      </x:c>
      <x:c r="Z60" s="24" t="str">
        <x:v>数值候选</x:v>
      </x:c>
      <x:c r="AA60" s="24" t="str">
        <x:v>保留</x:v>
      </x:c>
      <x:c r="AB60" s="24" t="str">
        <x:v>设计候选；未声称已实装</x:v>
      </x:c>
    </x:row>
    <x:row r="61" ht="55" customHeight="1">
      <x:c r="A61" s="24" t="n">
        <x:v>71</x:v>
      </x:c>
      <x:c r="B61" s="24" t="str">
        <x:v>B01</x:v>
      </x:c>
      <x:c r="C61" s="24" t="str">
        <x:v>拾铃磁盘</x:v>
      </x:c>
      <x:c r="D61" s="24" t="str">
        <x:v>蓝色</x:v>
      </x:c>
      <x:c r="E61" s="24" t="str">
        <x:v>经济/探索</x:v>
      </x:c>
      <x:c r="F61" s="24" t="n">
        <x:v>1</x:v>
      </x:c>
      <x:c r="G61" s="42" t="n">
        <x:v>1</x:v>
      </x:c>
      <x:c r="H61" s="24" t="n">
        <x:v>24</x:v>
      </x:c>
      <x:c r="I61" s="42" t="n">
        <x:v>24</x:v>
      </x:c>
      <x:c r="J61" s="24" t="str">
        <x:v>否</x:v>
      </x:c>
      <x:c r="K61" s="24" t="n">
        <x:v>1</x:v>
      </x:c>
      <x:c r="L61" s="24" t="str">
        <x:v>自动吸取半径200内可拾取的金币、永久音符、地面回血与能量资源；不自动领取道具、宝箱或商店货物。</x:v>
      </x:c>
      <x:c r="M61" s="24" t="str">
        <x:v>金币落地</x:v>
      </x:c>
      <x:c r="N61" s="24" t="str">
        <x:v>不穿阻挡；不改变拾取ID</x:v>
      </x:c>
      <x:c r="O61" s="24" t="str">
        <x:v>无</x:v>
      </x:c>
      <x:c r="P61" s="24" t="str">
        <x:v>P0</x:v>
      </x:c>
      <x:c r="Q61" s="24" t="str">
        <x:v>只减操作不增资源；1槽便捷性高，现有大地图有拾取路线，维持低价。</x:v>
      </x:c>
      <x:c r="R61" s="24" t="str">
        <x:v>低</x:v>
      </x:c>
      <x:c r="S61" s="24" t="str">
        <x:v>机制已评审；数值建议待试玩</x:v>
      </x:c>
      <x:c r="T61" s="24" t="str">
        <x:v>散落的铜屑，循着一枚小小铃心归巢。</x:v>
      </x:c>
      <x:c r="U61" s="24" t="str">
        <x:v>{"pickup_radius_px":200,"resource_pickup_mask":"coin|meta_note|health_pickup|energy_pickup","auto_collect_reward_objects":0}</x:v>
      </x:c>
      <x:c r="V61" s="24" t="str">
        <x:v>https://github.com/zhipijun1996/gunman-rush/blob/26e7f2a4459623f35613a857da8a75e89daa3e62/scripts/generation/plains_region_generator.gd</x:v>
      </x:c>
      <x:c r="W61" s="24" t="n">
        <x:f>IF(OR(F61="",G61=""),"",G61-F61)</x:f>
        <x:v>0</x:v>
      </x:c>
      <x:c r="X61" s="24" t="n">
        <x:f>IF(OR(H61="",I61=""),"",I61-H61)</x:f>
        <x:v>0</x:v>
      </x:c>
      <x:c r="Y61" s="24" t="n">
        <x:f>IFERROR(ROUND(I61/G61,1),"")</x:f>
        <x:v>24</x:v>
      </x:c>
      <x:c r="Z61" s="24" t="str">
        <x:v>数值候选</x:v>
      </x:c>
      <x:c r="AA61" s="24" t="str">
        <x:v>修改</x:v>
      </x:c>
      <x:c r="AB61" s="24" t="str">
        <x:v>设计候选；未声称已实装</x:v>
      </x:c>
    </x:row>
    <x:row r="62" ht="55" customHeight="1">
      <x:c r="A62" s="24" t="n">
        <x:v>73</x:v>
      </x:c>
      <x:c r="B62" s="24" t="str">
        <x:v>B16</x:v>
      </x:c>
      <x:c r="C62" s="24" t="str">
        <x:v>裂纹钱袋</x:v>
      </x:c>
      <x:c r="D62" s="24" t="str">
        <x:v>蓝色</x:v>
      </x:c>
      <x:c r="E62" s="24" t="str">
        <x:v>经济/商店</x:v>
      </x:c>
      <x:c r="F62" s="24" t="n">
        <x:v>2</x:v>
      </x:c>
      <x:c r="G62" s="42" t="n">
        <x:v>2</x:v>
      </x:c>
      <x:c r="H62" s="24" t="n">
        <x:v>35</x:v>
      </x:c>
      <x:c r="I62" s="42" t="n">
        <x:v>23</x:v>
      </x:c>
      <x:c r="J62" s="24" t="str">
        <x:v>否</x:v>
      </x:c>
      <x:c r="K62" s="24" t="n">
        <x:v>1</x:v>
      </x:c>
      <x:c r="L62" s="24" t="str">
        <x:v>本图前8次合法击杀各+1金币；装备期间累计受到3次HP伤害损坏，商店支付20金币修复。</x:v>
      </x:c>
      <x:c r="M62" s="24" t="str">
        <x:v>本图首次合法击杀目标</x:v>
      </x:c>
      <x:c r="N62" s="24" t="str">
        <x:v>修理在商店；目标ID防重复；同图金币上限16</x:v>
      </x:c>
      <x:c r="O62" s="24" t="str">
        <x:v>无</x:v>
      </x:c>
      <x:c r="P62" s="24" t="str">
        <x:v>P1</x:v>
      </x:c>
      <x:c r="Q62" s="24" t="str">
        <x:v>每图最多赚8金币，跨图可能回本慢；35原价过贵，降至23且修复20。</x:v>
      </x:c>
      <x:c r="R62" s="24" t="str">
        <x:v>低</x:v>
      </x:c>
      <x:c r="S62" s="24" t="str">
        <x:v>机制已评审；数值建议待试玩</x:v>
      </x:c>
      <x:c r="T62" s="24" t="str">
        <x:v>袋口裂了，钱却不肯在钟声落下前逃走。</x:v>
      </x:c>
      <x:c r="U62" s="24" t="str">
        <x:v>{"bonus_coin_per_kill":1,"max_bonus_kills_per_map":8,"break_on_hits":3,"repair_price":20}</x:v>
      </x:c>
      <x:c r="V62" s="24" t="str">
        <x:v>https://github.com/zhipijun1996/gunman-rush/blob/26e7f2a4459623f35613a857da8a75e89daa3e62/scripts/generation/plains_region_generator.gd</x:v>
      </x:c>
      <x:c r="W62" s="24" t="n">
        <x:f>IF(OR(F62="",G62=""),"",G62-F62)</x:f>
        <x:v>0</x:v>
      </x:c>
      <x:c r="X62" s="24" t="n">
        <x:f>IF(OR(H62="",I62=""),"",I62-H62)</x:f>
        <x:v>-12</x:v>
      </x:c>
      <x:c r="Y62" s="24" t="n">
        <x:f>IFERROR(ROUND(I62/G62,1),"")</x:f>
        <x:v>11.5</x:v>
      </x:c>
      <x:c r="Z62" s="24" t="str">
        <x:v>经济：需按实际两图/长局复核</x:v>
      </x:c>
      <x:c r="AA62" s="24" t="str">
        <x:v>修改</x:v>
      </x:c>
      <x:c r="AB62" s="24" t="str">
        <x:v>设计候选；未声称已实装</x:v>
      </x:c>
    </x:row>
    <x:row r="63" ht="55" customHeight="1">
      <x:c r="A63" s="24" t="n">
        <x:v>74</x:v>
      </x:c>
      <x:c r="B63" s="24" t="str">
        <x:v>B20</x:v>
      </x:c>
      <x:c r="C63" s="24" t="str">
        <x:v>盗铃钩齿</x:v>
      </x:c>
      <x:c r="D63" s="24" t="str">
        <x:v>蓝色</x:v>
      </x:c>
      <x:c r="E63" s="24" t="str">
        <x:v>钩索/标记</x:v>
      </x:c>
      <x:c r="F63" s="24" t="n">
        <x:v>2</x:v>
      </x:c>
      <x:c r="G63" s="42" t="n">
        <x:v>2</x:v>
      </x:c>
      <x:c r="H63" s="24" t="n">
        <x:v>36</x:v>
      </x:c>
      <x:c r="I63" s="42" t="n">
        <x:v>28</x:v>
      </x:c>
      <x:c r="J63" s="24" t="str">
        <x:v>否</x:v>
      </x:c>
      <x:c r="K63" s="24" t="n">
        <x:v>1</x:v>
      </x:c>
      <x:c r="L63" s="24" t="str">
        <x:v>获得1金币</x:v>
      </x:c>
      <x:c r="M63" s="24" t="str">
        <x:v>首次钩中不同敌人</x:v>
      </x:c>
      <x:c r="N63" s="24" t="str">
        <x:v>每enemy_instance一次，Boss不给金币</x:v>
      </x:c>
      <x:c r="O63" s="24" t="str">
        <x:v>钩索已解锁</x:v>
      </x:c>
      <x:c r="P63" s="24" t="str">
        <x:v>P2</x:v>
      </x:c>
      <x:c r="Q63" s="24" t="str">
        <x:v>钩索主动攻击每敌人首次+1金币、单图封顶10，早买才有价值，降价。</x:v>
      </x:c>
      <x:c r="R63" s="24" t="str">
        <x:v>低</x:v>
      </x:c>
      <x:c r="S63" s="24" t="str">
        <x:v>机制已评审；数值建议待试玩</x:v>
      </x:c>
      <x:c r="T63" s="24" t="str">
        <x:v>比起宝石，小偷更喜欢从旧钟上偷下一点时间。</x:v>
      </x:c>
      <x:c r="U63" s="24" t="str">
        <x:v>{"coin_per_enemy":1,"map_coin_cap":10}</x:v>
      </x:c>
      <x:c r="V63" s="24" t="str">
        <x:v>https://github.com/zhipijun1996/gunman-rush/blob/26e7f2a4459623f35613a857da8a75e89daa3e62/scripts/generation/plains_region_generator.gd</x:v>
      </x:c>
      <x:c r="W63" s="24" t="n">
        <x:f>IF(OR(F63="",G63=""),"",G63-F63)</x:f>
        <x:v>0</x:v>
      </x:c>
      <x:c r="X63" s="24" t="n">
        <x:f>IF(OR(H63="",I63=""),"",I63-H63)</x:f>
        <x:v>-8</x:v>
      </x:c>
      <x:c r="Y63" s="24" t="n">
        <x:f>IFERROR(ROUND(I63/G63,1),"")</x:f>
        <x:v>14</x:v>
      </x:c>
      <x:c r="Z63" s="24" t="str">
        <x:v>数值候选</x:v>
      </x:c>
      <x:c r="AA63" s="24" t="str">
        <x:v>保留</x:v>
      </x:c>
      <x:c r="AB63" s="24" t="str">
        <x:v>设计候选；未声称已实装</x:v>
      </x:c>
    </x:row>
    <x:row r="64" ht="55" customHeight="1">
      <x:c r="A64" s="24" t="n">
        <x:v>75</x:v>
      </x:c>
      <x:c r="B64" s="24" t="str">
        <x:v>P39</x:v>
      </x:c>
      <x:c r="C64" s="24" t="str">
        <x:v>盗贼旧誓</x:v>
      </x:c>
      <x:c r="D64" s="24" t="str">
        <x:v>紫色</x:v>
      </x:c>
      <x:c r="E64" s="24" t="str">
        <x:v>经济/商店</x:v>
      </x:c>
      <x:c r="F64" s="24" t="n">
        <x:v>2</x:v>
      </x:c>
      <x:c r="G64" s="42" t="n">
        <x:v>2</x:v>
      </x:c>
      <x:c r="H64" s="24" t="n">
        <x:v>66</x:v>
      </x:c>
      <x:c r="I64" s="42" t="n">
        <x:v>18</x:v>
      </x:c>
      <x:c r="J64" s="24" t="str">
        <x:v>否</x:v>
      </x:c>
      <x:c r="K64" s="24" t="n">
        <x:v>1</x:v>
      </x:c>
      <x:c r="L64" s="24" t="str">
        <x:v>合法击杀所得局内金币×1.25，受伤不扣金币；整数金币采用结余累计，不影响宝箱/退款。</x:v>
      </x:c>
      <x:c r="M64" s="24" t="str">
        <x:v>本图击杀金币结算/受伤</x:v>
      </x:c>
      <x:c r="N64" s="24" t="str">
        <x:v>不能使钱包负数；扣钱要形成消费收据</x:v>
      </x:c>
      <x:c r="O64" s="24" t="str">
        <x:v>无</x:v>
      </x:c>
      <x:c r="P64" s="24" t="str">
        <x:v>P3</x:v>
      </x:c>
      <x:c r="Q64" s="24" t="str">
        <x:v>仅击杀金币+25%，平均赚够18金需72枚基础击杀金币，建议仅早期奖励投放。</x:v>
      </x:c>
      <x:c r="R64" s="24" t="str">
        <x:v>低</x:v>
      </x:c>
      <x:c r="S64" s="24" t="str">
        <x:v>机制已评审；数值建议待试玩</x:v>
      </x:c>
      <x:c r="T64" s="24" t="str">
        <x:v>守钟人曾发誓不会偷窃；钟停后，誓言先碎了。</x:v>
      </x:c>
      <x:c r="U64" s="24" t="str">
        <x:v>{"kill_coin_multiplier":1.25,"lose_coins_on_damage":0}</x:v>
      </x:c>
      <x:c r="V64" s="24" t="str">
        <x:v>https://github.com/zhipijun1996/gunman-rush/blob/26e7f2a4459623f35613a857da8a75e89daa3e62/scripts/generation/plains_region_generator.gd</x:v>
      </x:c>
      <x:c r="W64" s="24" t="n">
        <x:f>IF(OR(F64="",G64=""),"",G64-F64)</x:f>
        <x:v>0</x:v>
      </x:c>
      <x:c r="X64" s="24" t="n">
        <x:f>IF(OR(H64="",I64=""),"",I64-H64)</x:f>
        <x:v>-48</x:v>
      </x:c>
      <x:c r="Y64" s="24" t="n">
        <x:f>IFERROR(ROUND(I64/G64,1),"")</x:f>
        <x:v>9</x:v>
      </x:c>
      <x:c r="Z64" s="24" t="str">
        <x:v>经济：需按实际两图/长局复核</x:v>
      </x:c>
      <x:c r="AA64" s="24" t="str">
        <x:v>修改</x:v>
      </x:c>
      <x:c r="AB64" s="24" t="str">
        <x:v>设计候选；未声称已实装</x:v>
      </x:c>
    </x:row>
    <x:row r="65" ht="55" customHeight="1">
      <x:c r="A65" s="24" t="n">
        <x:v>76</x:v>
      </x:c>
      <x:c r="B65" s="24" t="str">
        <x:v>G10</x:v>
      </x:c>
      <x:c r="C65" s="24" t="str">
        <x:v>不朽钱袋</x:v>
      </x:c>
      <x:c r="D65" s="24" t="str">
        <x:v>金色</x:v>
      </x:c>
      <x:c r="E65" s="24" t="str">
        <x:v>经济/商店</x:v>
      </x:c>
      <x:c r="F65" s="24" t="n">
        <x:v>1</x:v>
      </x:c>
      <x:c r="G65" s="42" t="n">
        <x:v>1</x:v>
      </x:c>
      <x:c r="H65" s="24" t="n">
        <x:v>120</x:v>
      </x:c>
      <x:c r="I65" s="42" t="n">
        <x:v>63</x:v>
      </x:c>
      <x:c r="J65" s="24" t="str">
        <x:v>否</x:v>
      </x:c>
      <x:c r="K65" s="24" t="n">
        <x:v>1</x:v>
      </x:c>
      <x:c r="L65" s="24" t="str">
        <x:v>每图首次6次有效击杀额外各+2金币，最多12金币。</x:v>
      </x:c>
      <x:c r="M65" s="24" t="str">
        <x:v>首次合法击杀敌人</x:v>
      </x:c>
      <x:c r="N65" s="24" t="str">
        <x:v>与裂纹钱袋互斥；每图最多16金币</x:v>
      </x:c>
      <x:c r="O65" s="24" t="str">
        <x:v>无</x:v>
      </x:c>
      <x:c r="P65" s="24" t="str">
        <x:v>P2</x:v>
      </x:c>
      <x:c r="Q65" s="24" t="str">
        <x:v>每张地图最多12额外金币、两图24；原价120无法回本，建议63但仍偏后期奖励。</x:v>
      </x:c>
      <x:c r="R65" s="24" t="str">
        <x:v>低</x:v>
      </x:c>
      <x:c r="S65" s="24" t="str">
        <x:v>机制已评审；数值建议待试玩</x:v>
      </x:c>
      <x:c r="T65" s="24" t="str">
        <x:v>世上最牢靠的钱袋，装的其实是回不来的时光。</x:v>
      </x:c>
      <x:c r="U65" s="24" t="str">
        <x:v>{"bonus_coin_per_kill":2,"max_bonus_kills_per_map":6}</x:v>
      </x:c>
      <x:c r="V65" s="24" t="str">
        <x:v>https://github.com/zhipijun1996/gunman-rush/blob/26e7f2a4459623f35613a857da8a75e89daa3e62/scripts/generation/plains_region_generator.gd</x:v>
      </x:c>
      <x:c r="W65" s="24" t="n">
        <x:f>IF(OR(F65="",G65=""),"",G65-F65)</x:f>
        <x:v>0</x:v>
      </x:c>
      <x:c r="X65" s="24" t="n">
        <x:f>IF(OR(H65="",I65=""),"",I65-H65)</x:f>
        <x:v>-57</x:v>
      </x:c>
      <x:c r="Y65" s="24" t="n">
        <x:f>IFERROR(ROUND(I65/G65,1),"")</x:f>
        <x:v>63</x:v>
      </x:c>
      <x:c r="Z65" s="24" t="str">
        <x:v>经济：需按实际两图/长局复核</x:v>
      </x:c>
      <x:c r="AA65" s="24" t="str">
        <x:v>保留</x:v>
      </x:c>
      <x:c r="AB65" s="24" t="str">
        <x:v>设计候选；未声称已实装</x:v>
      </x:c>
    </x:row>
    <x:row r="66" ht="55" customHeight="1">
      <x:c r="A66" s="24" t="n">
        <x:v>77</x:v>
      </x:c>
      <x:c r="B66" s="24" t="str">
        <x:v>G12</x:v>
      </x:c>
      <x:c r="C66" s="24" t="str">
        <x:v>错位命运骰</x:v>
      </x:c>
      <x:c r="D66" s="24" t="str">
        <x:v>金色</x:v>
      </x:c>
      <x:c r="E66" s="24" t="str">
        <x:v>经济/商店</x:v>
      </x:c>
      <x:c r="F66" s="24" t="n">
        <x:v>1</x:v>
      </x:c>
      <x:c r="G66" s="42" t="n">
        <x:v>1</x:v>
      </x:c>
      <x:c r="H66" s="24" t="n">
        <x:v>110</x:v>
      </x:c>
      <x:c r="I66" s="42" t="n">
        <x:v>74</x:v>
      </x:c>
      <x:c r="J66" s="24" t="str">
        <x:v>否</x:v>
      </x:c>
      <x:c r="K66" s="24" t="n">
        <x:v>1</x:v>
      </x:c>
      <x:c r="L66" s="24" t="str">
        <x:v>首次商店刷新免费；蓝色概率−14百分点、紫色+10、金色+4，总概率仍100%。</x:v>
      </x:c>
      <x:c r="M66" s="24" t="str">
        <x:v>每张地图首次商店刷新</x:v>
      </x:c>
      <x:c r="N66" s="24" t="str">
        <x:v>从蓝档扣除等量概率；内容池合法性与版本要校验</x:v>
      </x:c>
      <x:c r="O66" s="24" t="str">
        <x:v>商店可使用</x:v>
      </x:c>
      <x:c r="P66" s="24" t="str">
        <x:v>P2</x:v>
      </x:c>
      <x:c r="Q66" s="24" t="str">
        <x:v>更高紫金概率只在商店刷新生效；没有多商品正式商店时收益很低，建议74。</x:v>
      </x:c>
      <x:c r="R66" s="24" t="str">
        <x:v>中</x:v>
      </x:c>
      <x:c r="S66" s="24" t="str">
        <x:v>机制已评审；数值建议待试玩</x:v>
      </x:c>
      <x:c r="T66" s="24" t="str">
        <x:v>命运转动一点，棋盘上的齿轮便漏走一格。</x:v>
      </x:c>
      <x:c r="U66" s="24" t="str">
        <x:v>{"free_rerolls_per_map":1,"purple_bonus_pp":10,"gold_bonus_pp":4,"blue_penalty_pp":14}</x:v>
      </x:c>
      <x:c r="V66" s="24" t="str">
        <x:v>https://github.com/zhipijun1996/gunman-rush/blob/26e7f2a4459623f35613a857da8a75e89daa3e62/scripts/generation/plains_region_generator.gd</x:v>
      </x:c>
      <x:c r="W66" s="24" t="n">
        <x:f>IF(OR(F66="",G66=""),"",G66-F66)</x:f>
        <x:v>0</x:v>
      </x:c>
      <x:c r="X66" s="24" t="n">
        <x:f>IF(OR(H66="",I66=""),"",I66-H66)</x:f>
        <x:v>-36</x:v>
      </x:c>
      <x:c r="Y66" s="24" t="n">
        <x:f>IFERROR(ROUND(I66/G66,1),"")</x:f>
        <x:v>74</x:v>
      </x:c>
      <x:c r="Z66" s="24" t="str">
        <x:v>经济：需按实际两图/长局复核</x:v>
      </x:c>
      <x:c r="AA66" s="24" t="str">
        <x:v>保留</x:v>
      </x:c>
      <x:c r="AB66" s="24" t="str">
        <x:v>设计候选；未声称已实装</x:v>
      </x:c>
    </x:row>
    <x:row r="67" ht="55" customHeight="1">
      <x:c r="A67" s="24" t="n">
        <x:v>79</x:v>
      </x:c>
      <x:c r="B67" s="24" t="str">
        <x:v>G07</x:v>
      </x:c>
      <x:c r="C67" s="24" t="str">
        <x:v>王钟残辉</x:v>
      </x:c>
      <x:c r="D67" s="24" t="str">
        <x:v>金色</x:v>
      </x:c>
      <x:c r="E67" s="24" t="str">
        <x:v>战斗共鸣</x:v>
      </x:c>
      <x:c r="F67" s="24" t="n">
        <x:v>5</x:v>
      </x:c>
      <x:c r="G67" s="42" t="n">
        <x:v>2</x:v>
      </x:c>
      <x:c r="H67" s="24" t="n">
        <x:v>115</x:v>
      </x:c>
      <x:c r="I67" s="42" t="n">
        <x:v>68</x:v>
      </x:c>
      <x:c r="J67" s="24" t="str">
        <x:v>否</x:v>
      </x:c>
      <x:c r="K67" s="24" t="n">
        <x:v>1</x:v>
      </x:c>
      <x:c r="L67" s="24" t="str">
        <x:v>每秒自然恢复2共鸣，本图恢复总计至多20</x:v>
      </x:c>
      <x:c r="M67" s="24" t="str">
        <x:v>脱战6秒且未消耗主动</x:v>
      </x:c>
      <x:c r="N67" s="24" t="str">
        <x:v>离战定义严格；总额可记录、换装不可重刷</x:v>
      </x:c>
      <x:c r="O67" s="24" t="str">
        <x:v>共鸣系统</x:v>
      </x:c>
      <x:c r="P67" s="24" t="str">
        <x:v>P3</x:v>
      </x:c>
      <x:c r="Q67" s="24" t="str">
        <x:v>原5槽每图最多20共鸣极差；改2槽仍受脱战6秒与20点预算限制。</x:v>
      </x:c>
      <x:c r="R67" s="24" t="str">
        <x:v>高</x:v>
      </x:c>
      <x:c r="S67" s="24" t="str">
        <x:v>机制已评审；数值建议待试玩</x:v>
      </x:c>
      <x:c r="T67" s="24" t="str">
        <x:v>王钟碎裂后，最昂贵的不是金属，而是迟到的余音。</x:v>
      </x:c>
      <x:c r="U67" s="24" t="str">
        <x:v>{"idle_delay_s":6,"resonance_per_s":2,"max_recovery_per_map":20}</x:v>
      </x:c>
      <x:c r="V67" s="24" t="str">
        <x:v>https://github.com/zhipijun1996/gunman-rush/blob/26e7f2a4459623f35613a857da8a75e89daa3e62/scripts/resources/state/combat_energy_state.gd</x:v>
      </x:c>
      <x:c r="W67" s="24" t="n">
        <x:f>IF(OR(F67="",G67=""),"",G67-F67)</x:f>
        <x:v>-3</x:v>
      </x:c>
      <x:c r="X67" s="24" t="n">
        <x:f>IF(OR(H67="",I67=""),"",I67-H67)</x:f>
        <x:v>-47</x:v>
      </x:c>
      <x:c r="Y67" s="24" t="n">
        <x:f>IFERROR(ROUND(I67/G67,1),"")</x:f>
        <x:v>34</x:v>
      </x:c>
      <x:c r="Z67" s="24" t="str">
        <x:v>强机制：需整图实测</x:v>
      </x:c>
      <x:c r="AA67" s="24" t="str">
        <x:v>保留</x:v>
      </x:c>
      <x:c r="AB67" s="24" t="str">
        <x:v>设计候选；未声称已实装</x:v>
      </x:c>
    </x:row>
    <x:row r="68" ht="55" customHeight="1">
      <x:c r="A68" s="24" t="n">
        <x:v>80</x:v>
      </x:c>
      <x:c r="B68" s="24" t="str">
        <x:v>G08</x:v>
      </x:c>
      <x:c r="C68" s="24" t="str">
        <x:v>空白钟芯</x:v>
      </x:c>
      <x:c r="D68" s="24" t="str">
        <x:v>金色</x:v>
      </x:c>
      <x:c r="E68" s="24" t="str">
        <x:v>机械无人机</x:v>
      </x:c>
      <x:c r="F68" s="24" t="n">
        <x:v>1</x:v>
      </x:c>
      <x:c r="G68" s="42" t="n">
        <x:v>1</x:v>
      </x:c>
      <x:c r="H68" s="24" t="n">
        <x:v>130</x:v>
      </x:c>
      <x:c r="I68" s="42" t="n">
        <x:v>70</x:v>
      </x:c>
      <x:c r="J68" s="24" t="str">
        <x:v>否</x:v>
      </x:c>
      <x:c r="K68" s="24" t="n">
        <x:v>1</x:v>
      </x:c>
      <x:c r="L68" s="24" t="str">
        <x:v>伴机优先攻击追索标记目标，首次副伤×1.30。</x:v>
      </x:c>
      <x:c r="M68" s="24" t="str">
        <x:v>伴机选择目标</x:v>
      </x:c>
      <x:c r="N68" s="24" t="str">
        <x:v>需有伴机和标记才进池；不能赋予永久不可卸</x:v>
      </x:c>
      <x:c r="O68" s="24" t="str">
        <x:v>已拥有伴机+标记能力</x:v>
      </x:c>
      <x:c r="P68" s="24" t="str">
        <x:v>P3</x:v>
      </x:c>
      <x:c r="Q68" s="24" t="str">
        <x:v>只有同时具召唤物和标记才生效，严格前置，1槽适合组合零件。</x:v>
      </x:c>
      <x:c r="R68" s="24" t="str">
        <x:v>低</x:v>
      </x:c>
      <x:c r="S68" s="24" t="str">
        <x:v>机制已评审；数值建议待试玩</x:v>
      </x:c>
      <x:c r="T68" s="24" t="str">
        <x:v>有一枚钟芯未曾被刻名，所以愿意记住所有人。</x:v>
      </x:c>
      <x:c r="U68" s="24" t="str">
        <x:v>{"marked_companion_first_hit_multiplier":1.3}</x:v>
      </x:c>
      <x:c r="V68" s="24" t="str">
        <x:v>https://github.com/zhipijun1996/gunman-rush/blob/26e7f2a4459623f35613a857da8a75e89daa3e62/scripts/combat/weapon_definition.gd</x:v>
      </x:c>
      <x:c r="W68" s="24" t="n">
        <x:f>IF(OR(F68="",G68=""),"",G68-F68)</x:f>
        <x:v>0</x:v>
      </x:c>
      <x:c r="X68" s="24" t="n">
        <x:f>IF(OR(H68="",I68=""),"",I68-H68)</x:f>
        <x:v>-60</x:v>
      </x:c>
      <x:c r="Y68" s="24" t="n">
        <x:f>IFERROR(ROUND(I68/G68,1),"")</x:f>
        <x:v>70</x:v>
      </x:c>
      <x:c r="Z68" s="24" t="str">
        <x:v>数值候选</x:v>
      </x:c>
      <x:c r="AA68" s="24" t="str">
        <x:v>保留</x:v>
      </x:c>
      <x:c r="AB68" s="24" t="str">
        <x:v>设计候选；未声称已实装</x:v>
      </x:c>
    </x:row>
    <x:row r="69" ht="55" customHeight="1">
      <x:c r="A69" s="24" t="n">
        <x:v>81</x:v>
      </x:c>
      <x:c r="B69" s="24" t="str">
        <x:v>B17</x:v>
      </x:c>
      <x:c r="C69" s="24" t="str">
        <x:v>裂纹强击栓</x:v>
      </x:c>
      <x:c r="D69" s="24" t="str">
        <x:v>蓝色</x:v>
      </x:c>
      <x:c r="E69" s="24" t="str">
        <x:v>攻击强化</x:v>
      </x:c>
      <x:c r="F69" s="24" t="n">
        <x:v>3</x:v>
      </x:c>
      <x:c r="G69" s="42" t="n">
        <x:v>3</x:v>
      </x:c>
      <x:c r="H69" s="24" t="n">
        <x:v>39</x:v>
      </x:c>
      <x:c r="I69" s="42" t="n">
        <x:v>38</x:v>
      </x:c>
      <x:c r="J69" s="24" t="str">
        <x:v>否</x:v>
      </x:c>
      <x:c r="K69" s="24" t="n">
        <x:v>1</x:v>
      </x:c>
      <x:c r="L69" s="24" t="str">
        <x:v>主武器基础直接伤害×1.50；装备期间累计3次真实HP伤害后损坏，商店可付26金币修复。</x:v>
      </x:c>
      <x:c r="M69" s="24" t="str">
        <x:v>主攻真实伤害</x:v>
      </x:c>
      <x:c r="N69" s="24" t="str">
        <x:v>累计3次真实HP损伤（跨图）；盾吸收不计；修复26金；仍占3槽</x:v>
      </x:c>
      <x:c r="O69" s="24" t="str">
        <x:v>攻击武器</x:v>
      </x:c>
      <x:c r="P69" s="24" t="str">
        <x:v>P1</x:v>
      </x:c>
      <x:c r="Q69" s="24" t="str">
        <x:v>有累计3次HP损伤破碎的重大代价；+50%直伤应明显强于永久+32%满级枪管。</x:v>
      </x:c>
      <x:c r="R69" s="24" t="str">
        <x:v>高</x:v>
      </x:c>
      <x:c r="S69" s="24" t="str">
        <x:v>机制已评审；数值建议待试玩</x:v>
      </x:c>
      <x:c r="T69" s="24" t="str">
        <x:v>每次受伤，断齿都会再裂一分；第三道裂缝便是它的终曲。</x:v>
      </x:c>
      <x:c r="U69" s="24" t="str">
        <x:v>{"primary_damage_multiplier":1.5,"break_on_hits":3,"repair_price":26}</x:v>
      </x:c>
      <x:c r="V69" s="24" t="str">
        <x:v>https://github.com/zhipijun1996/gunman-rush/blob/26e7f2a4459623f35613a857da8a75e89daa3e62/scripts/combat/weapon_definition.gd</x:v>
      </x:c>
      <x:c r="W69" s="24" t="n">
        <x:f>IF(OR(F69="",G69=""),"",G69-F69)</x:f>
        <x:v>0</x:v>
      </x:c>
      <x:c r="X69" s="24" t="n">
        <x:f>IF(OR(H69="",I69=""),"",I69-H69)</x:f>
        <x:v>-1</x:v>
      </x:c>
      <x:c r="Y69" s="24" t="n">
        <x:f>IFERROR(ROUND(I69/G69,1),"")</x:f>
        <x:v>12.7</x:v>
      </x:c>
      <x:c r="Z69" s="24" t="str">
        <x:v>强机制：需整图实测</x:v>
      </x:c>
      <x:c r="AA69" s="24" t="str">
        <x:v>修改</x:v>
      </x:c>
      <x:c r="AB69" s="24" t="str">
        <x:v>设计候选；未声称已实装</x:v>
      </x:c>
    </x:row>
    <x:row r="70" ht="55" customHeight="1">
      <x:c r="A70" s="24" t="n">
        <x:v>84</x:v>
      </x:c>
      <x:c r="B70" s="24" t="str">
        <x:v>P24</x:v>
      </x:c>
      <x:c r="C70" s="24" t="str">
        <x:v>回环飞轮</x:v>
      </x:c>
      <x:c r="D70" s="24" t="str">
        <x:v>紫色</x:v>
      </x:c>
      <x:c r="E70" s="24" t="str">
        <x:v>主动攻击</x:v>
      </x:c>
      <x:c r="F70" s="24" t="n">
        <x:v>3</x:v>
      </x:c>
      <x:c r="G70" s="42" t="n">
        <x:v>3</x:v>
      </x:c>
      <x:c r="H70" s="24" t="n">
        <x:v>76</x:v>
      </x:c>
      <x:c r="I70" s="42" t="n">
        <x:v>47</x:v>
      </x:c>
      <x:c r="J70" s="24" t="str">
        <x:v>否</x:v>
      </x:c>
      <x:c r="K70" s="24" t="n">
        <x:v>1</x:v>
      </x:c>
      <x:c r="L70" s="24" t="str">
        <x:v>消耗35战斗能量抛出往返飞轮，总直伤预算1.40D；12秒冷却。</x:v>
      </x:c>
      <x:c r="M70" s="24" t="str">
        <x:v>按共鸣技能键</x:v>
      </x:c>
      <x:c r="N70" s="24" t="str">
        <x:v>单装备时同一技能飞轮至多1个；双响投架联动时至多2个；共享一次能量提交</x:v>
      </x:c>
      <x:c r="O70" s="24" t="str">
        <x:v>共鸣主动系统</x:v>
      </x:c>
      <x:c r="P70" s="24" t="str">
        <x:v>P2</x:v>
      </x:c>
      <x:c r="Q70" s="24" t="str">
        <x:v>工具飞轮与回旋武器有重叠，但作为共鸣技能独立可用，降价。</x:v>
      </x:c>
      <x:c r="R70" s="24" t="str">
        <x:v>中</x:v>
      </x:c>
      <x:c r="S70" s="24" t="str">
        <x:v>机制已评审；数值建议待试玩</x:v>
      </x:c>
      <x:c r="T70" s="24" t="str">
        <x:v>废墟里的轮子一直向前，直到想起自己有家。</x:v>
      </x:c>
      <x:c r="U70" s="24" t="str">
        <x:v>{"combat_energy_cost":35,"total_damage_ratio_D":1.4,"max_target_hits":2,"range_px":270}</x:v>
      </x:c>
      <x:c r="V70" s="24" t="str">
        <x:v>https://github.com/zhipijun1996/gunman-rush/blob/26e7f2a4459623f35613a857da8a75e89daa3e62/scripts/resources/state/combat_energy_state.gd</x:v>
      </x:c>
      <x:c r="W70" s="24" t="n">
        <x:f>IF(OR(F70="",G70=""),"",G70-F70)</x:f>
        <x:v>0</x:v>
      </x:c>
      <x:c r="X70" s="24" t="n">
        <x:f>IF(OR(H70="",I70=""),"",I70-H70)</x:f>
        <x:v>-29</x:v>
      </x:c>
      <x:c r="Y70" s="24" t="n">
        <x:f>IFERROR(ROUND(I70/G70,1),"")</x:f>
        <x:v>15.7</x:v>
      </x:c>
      <x:c r="Z70" s="24" t="str">
        <x:v>数值候选</x:v>
      </x:c>
      <x:c r="AA70" s="24" t="str">
        <x:v>保留</x:v>
      </x:c>
      <x:c r="AB70" s="24" t="str">
        <x:v>设计候选；未声称已实装</x:v>
      </x:c>
    </x:row>
    <x:row r="71" ht="55" customHeight="1">
      <x:c r="A71" s="24" t="n">
        <x:v>85</x:v>
      </x:c>
      <x:c r="B71" s="24" t="str">
        <x:v>P25</x:v>
      </x:c>
      <x:c r="C71" s="24" t="str">
        <x:v>落地针雷</x:v>
      </x:c>
      <x:c r="D71" s="24" t="str">
        <x:v>紫色</x:v>
      </x:c>
      <x:c r="E71" s="24" t="str">
        <x:v>主动攻击</x:v>
      </x:c>
      <x:c r="F71" s="24" t="n">
        <x:v>2</x:v>
      </x:c>
      <x:c r="G71" s="42" t="n">
        <x:v>2</x:v>
      </x:c>
      <x:c r="H71" s="24" t="n">
        <x:v>63</x:v>
      </x:c>
      <x:c r="I71" s="42" t="n">
        <x:v>48</x:v>
      </x:c>
      <x:c r="J71" s="24" t="str">
        <x:v>否</x:v>
      </x:c>
      <x:c r="K71" s="24" t="n">
        <x:v>1</x:v>
      </x:c>
      <x:c r="L71" s="24" t="str">
        <x:v>消耗35战斗能量放置脚下合法地面针雷，最多2枚，10秒冷却。</x:v>
      </x:c>
      <x:c r="M71" s="24" t="str">
        <x:v>按共鸣技能键</x:v>
      </x:c>
      <x:c r="N71" s="24" t="str">
        <x:v>无可靠地面放置则不施放且不扣共鸣</x:v>
      </x:c>
      <x:c r="O71" s="24" t="str">
        <x:v>共鸣主动系统</x:v>
      </x:c>
      <x:c r="P71" s="24" t="str">
        <x:v>P2</x:v>
      </x:c>
      <x:c r="Q71" s="24" t="str">
        <x:v>地面陷阱+0.9D，35共鸣成本高且布置要求，48金合理。</x:v>
      </x:c>
      <x:c r="R71" s="24" t="str">
        <x:v>低</x:v>
      </x:c>
      <x:c r="S71" s="24" t="str">
        <x:v>机制已评审；数值建议待试玩</x:v>
      </x:c>
      <x:c r="T71" s="24" t="str">
        <x:v>没有人再修路了，针雷便守在旧路的尽头。</x:v>
      </x:c>
      <x:c r="U71" s="24" t="str">
        <x:v>{"combat_energy_cost":35,"trap_lifetime_s":14,"trap_damage_ratio_D":0.9,"radius_px":80,"max_active_traps":2}</x:v>
      </x:c>
      <x:c r="V71" s="24" t="str">
        <x:v>https://github.com/zhipijun1996/gunman-rush/blob/26e7f2a4459623f35613a857da8a75e89daa3e62/scripts/resources/state/combat_energy_state.gd</x:v>
      </x:c>
      <x:c r="W71" s="24" t="n">
        <x:f>IF(OR(F71="",G71=""),"",G71-F71)</x:f>
        <x:v>0</x:v>
      </x:c>
      <x:c r="X71" s="24" t="n">
        <x:f>IF(OR(H71="",I71=""),"",I71-H71)</x:f>
        <x:v>-15</x:v>
      </x:c>
      <x:c r="Y71" s="24" t="n">
        <x:f>IFERROR(ROUND(I71/G71,1),"")</x:f>
        <x:v>24</x:v>
      </x:c>
      <x:c r="Z71" s="24" t="str">
        <x:v>数值候选</x:v>
      </x:c>
      <x:c r="AA71" s="24" t="str">
        <x:v>保留</x:v>
      </x:c>
      <x:c r="AB71" s="24" t="str">
        <x:v>设计候选；未声称已实装</x:v>
      </x:c>
    </x:row>
    <x:row r="72" ht="55" customHeight="1">
      <x:c r="A72" s="24" t="n">
        <x:v>86</x:v>
      </x:c>
      <x:c r="B72" s="24" t="str">
        <x:v>G14</x:v>
      </x:c>
      <x:c r="C72" s="24" t="str">
        <x:v>飞雷钟樽</x:v>
      </x:c>
      <x:c r="D72" s="24" t="str">
        <x:v>金色</x:v>
      </x:c>
      <x:c r="E72" s="24" t="str">
        <x:v>主动攻击</x:v>
      </x:c>
      <x:c r="F72" s="24" t="n">
        <x:v>2</x:v>
      </x:c>
      <x:c r="G72" s="42" t="n">
        <x:v>2</x:v>
      </x:c>
      <x:c r="H72" s="24" t="n">
        <x:v>155</x:v>
      </x:c>
      <x:c r="I72" s="42" t="n">
        <x:v>85</x:v>
      </x:c>
      <x:c r="J72" s="24" t="str">
        <x:v>否</x:v>
      </x:c>
      <x:c r="K72" s="24" t="n">
        <x:v>1</x:v>
      </x:c>
      <x:c r="L72" s="24" t="str">
        <x:v>仅保留投掷模式：主动消耗45点共鸣，投掷电弧雷樽，触敌或到达有效距离爆发1.30D电伤，再链到附近最多2名敌人各0.35D；CD14秒。</x:v>
      </x:c>
      <x:c r="M72" s="24" t="str">
        <x:v>按主动技能键向瞄准方向投掷</x:v>
      </x:c>
      <x:c r="N72" s="24" t="str">
        <x:v>取消部署/双态切换；只有投掷; 一次技能一包，电弧副伤不产共鸣</x:v>
      </x:c>
      <x:c r="O72" s="24" t="str">
        <x:v>共鸣主动系统</x:v>
      </x:c>
      <x:c r="P72" s="24" t="str">
        <x:v>P3</x:v>
      </x:c>
      <x:c r="Q72" s="24" t="str">
        <x:v>取消固定模式，仅投掷连锁电雷；45共鸣1.30D+两次0.35D，既有炸弹武器不需双态。</x:v>
      </x:c>
      <x:c r="R72" s="24" t="str">
        <x:v>高</x:v>
      </x:c>
      <x:c r="S72" s="24" t="str">
        <x:v>机制已评审；数值建议待试玩</x:v>
      </x:c>
      <x:c r="T72" s="24" t="str">
        <x:v>风给了这只电雷唯一的方向：飞向还未响起的那座钟。</x:v>
      </x:c>
      <x:c r="U72" s="24" t="str">
        <x:v>{"combat_energy_cost":45,"throw_damage_ratio_D":1.3,"chain_targets":2,"chain_damage_ratio_D":0.35,"cooldown_s":14,"mode":"THROW_ONLY"}</x:v>
      </x:c>
      <x:c r="V72" s="24" t="str">
        <x:v>https://github.com/zhipijun1996/gunman-rush/blob/26e7f2a4459623f35613a857da8a75e89daa3e62/scripts/resources/state/combat_energy_state.gd</x:v>
      </x:c>
      <x:c r="W72" s="24" t="n">
        <x:f>IF(OR(F72="",G72=""),"",G72-F72)</x:f>
        <x:v>0</x:v>
      </x:c>
      <x:c r="X72" s="24" t="n">
        <x:f>IF(OR(H72="",I72=""),"",I72-H72)</x:f>
        <x:v>-70</x:v>
      </x:c>
      <x:c r="Y72" s="24" t="n">
        <x:f>IFERROR(ROUND(I72/G72,1),"")</x:f>
        <x:v>42.5</x:v>
      </x:c>
      <x:c r="Z72" s="24" t="str">
        <x:v>强机制：需整图实测</x:v>
      </x:c>
      <x:c r="AA72" s="24" t="str">
        <x:v>修改</x:v>
      </x:c>
      <x:c r="AB72" s="24" t="str">
        <x:v>设计候选；未声称已实装</x:v>
      </x:c>
    </x:row>
    <x:row r="73" ht="55" customHeight="1">
      <x:c r="A73" s="24" t="n">
        <x:v>87</x:v>
      </x:c>
      <x:c r="B73" s="24" t="str">
        <x:v>G15</x:v>
      </x:c>
      <x:c r="C73" s="24" t="str">
        <x:v>双响投架</x:v>
      </x:c>
      <x:c r="D73" s="24" t="str">
        <x:v>金色</x:v>
      </x:c>
      <x:c r="E73" s="24" t="str">
        <x:v>主动技能</x:v>
      </x:c>
      <x:c r="F73" s="24" t="n">
        <x:v>2</x:v>
      </x:c>
      <x:c r="G73" s="42" t="n">
        <x:v>2</x:v>
      </x:c>
      <x:c r="H73" s="24" t="n">
        <x:v>135</x:v>
      </x:c>
      <x:c r="I73" s="42" t="n">
        <x:v>80</x:v>
      </x:c>
      <x:c r="J73" s="24" t="str">
        <x:v>否</x:v>
      </x:c>
      <x:c r="K73" s="24" t="n">
        <x:v>1</x:v>
      </x:c>
      <x:c r="L73" s="24" t="str">
        <x:v>投射工具分裂为两发，合计直伤预算×1.15；不会翻倍战斗产能。</x:v>
      </x:c>
      <x:c r="M73" s="24" t="str">
        <x:v>使用投射型共鸣技能</x:v>
      </x:c>
      <x:c r="N73" s="24" t="str">
        <x:v>两投共享一次扣能/冷却；不得复制护盾或治疗</x:v>
      </x:c>
      <x:c r="O73" s="24" t="str">
        <x:v>已装备投射型主动技能</x:v>
      </x:c>
      <x:c r="P73" s="24" t="str">
        <x:v>P3</x:v>
      </x:c>
      <x:c r="Q73" s="24" t="str">
        <x:v>投射技能双发合计×1.15而不是×2总伤；2槽组合型特殊机制，80金币。</x:v>
      </x:c>
      <x:c r="R73" s="24" t="str">
        <x:v>高</x:v>
      </x:c>
      <x:c r="S73" s="24" t="str">
        <x:v>机制已评审；数值建议待试玩</x:v>
      </x:c>
      <x:c r="T73" s="24" t="str">
        <x:v>第一次投掷落空的人，总想拥有第二只手。</x:v>
      </x:c>
      <x:c r="U73" s="24" t="str">
        <x:v>{"projectile_count_multiplier":2,"total_damage_budget_multiplier":1.15}</x:v>
      </x:c>
      <x:c r="V73" s="24" t="str">
        <x:v>https://github.com/zhipijun1996/gunman-rush/blob/26e7f2a4459623f35613a857da8a75e89daa3e62/scripts/combat/weapon_definition.gd</x:v>
      </x:c>
      <x:c r="W73" s="24" t="n">
        <x:f>IF(OR(F73="",G73=""),"",G73-F73)</x:f>
        <x:v>0</x:v>
      </x:c>
      <x:c r="X73" s="24" t="n">
        <x:f>IF(OR(H73="",I73=""),"",I73-H73)</x:f>
        <x:v>-55</x:v>
      </x:c>
      <x:c r="Y73" s="24" t="n">
        <x:f>IFERROR(ROUND(I73/G73,1),"")</x:f>
        <x:v>40</x:v>
      </x:c>
      <x:c r="Z73" s="24" t="str">
        <x:v>强机制：需整图实测</x:v>
      </x:c>
      <x:c r="AA73" s="24" t="str">
        <x:v>保留</x:v>
      </x:c>
      <x:c r="AB73" s="24" t="str">
        <x:v>设计候选；未声称已实装</x:v>
      </x:c>
    </x:row>
    <x:row r="74" ht="55" customHeight="1">
      <x:c r="A74" s="24" t="n">
        <x:v>88</x:v>
      </x:c>
      <x:c r="B74" s="24" t="str">
        <x:v>G16</x:v>
      </x:c>
      <x:c r="C74" s="24" t="str">
        <x:v>钟匠裁决</x:v>
      </x:c>
      <x:c r="D74" s="24" t="str">
        <x:v>金色</x:v>
      </x:c>
      <x:c r="E74" s="24" t="str">
        <x:v>主动技能</x:v>
      </x:c>
      <x:c r="F74" s="24" t="n">
        <x:v>5</x:v>
      </x:c>
      <x:c r="G74" s="42" t="n">
        <x:v>4</x:v>
      </x:c>
      <x:c r="H74" s="24" t="n">
        <x:v>170</x:v>
      </x:c>
      <x:c r="I74" s="42" t="n">
        <x:v>91</x:v>
      </x:c>
      <x:c r="J74" s="24" t="str">
        <x:v>否</x:v>
      </x:c>
      <x:c r="K74" s="24" t="n">
        <x:v>1</x:v>
      </x:c>
      <x:c r="L74" s="24" t="str">
        <x:v>消耗65战斗能量释放3段钟波，各0.60D；使用同一技能攻击包。</x:v>
      </x:c>
      <x:c r="M74" s="24" t="str">
        <x:v>按共鸣技能键</x:v>
      </x:c>
      <x:c r="N74" s="24" t="str">
        <x:v>攻击可带特效但不添加主动位移；Boss护甲与合法窗口继续生效</x:v>
      </x:c>
      <x:c r="O74" s="24" t="str">
        <x:v>共鸣主动系统</x:v>
      </x:c>
      <x:c r="P74" s="24" t="str">
        <x:v>P3</x:v>
      </x:c>
      <x:c r="Q74" s="24" t="str">
        <x:v>65共鸣消耗曾只1.8D输出太低；建议3段×0.9D=2.7D、4槽更合理。</x:v>
      </x:c>
      <x:c r="R74" s="24" t="str">
        <x:v>中</x:v>
      </x:c>
      <x:c r="S74" s="24" t="str">
        <x:v>机制已评审；数值建议待试玩</x:v>
      </x:c>
      <x:c r="T74" s="24" t="str">
        <x:v>最后的钟匠举起铁槌，没有人知道他要修复还是敲碎。</x:v>
      </x:c>
      <x:c r="U74" s="24" t="str">
        <x:v>{"combat_energy_cost":65,"pulse_count":3,"damage_ratio_D_each":0.9,"range_px":280,"cooldown_s":18}</x:v>
      </x:c>
      <x:c r="V74" s="24" t="str">
        <x:v>https://github.com/zhipijun1996/gunman-rush/blob/26e7f2a4459623f35613a857da8a75e89daa3e62/scripts/resources/state/combat_energy_state.gd</x:v>
      </x:c>
      <x:c r="W74" s="24" t="n">
        <x:f>IF(OR(F74="",G74=""),"",G74-F74)</x:f>
        <x:v>-1</x:v>
      </x:c>
      <x:c r="X74" s="24" t="n">
        <x:f>IF(OR(H74="",I74=""),"",I74-H74)</x:f>
        <x:v>-79</x:v>
      </x:c>
      <x:c r="Y74" s="24" t="n">
        <x:f>IFERROR(ROUND(I74/G74,1),"")</x:f>
        <x:v>22.8</x:v>
      </x:c>
      <x:c r="Z74" s="24" t="str">
        <x:v>数值候选</x:v>
      </x:c>
      <x:c r="AA74" s="24" t="str">
        <x:v>保留</x:v>
      </x:c>
      <x:c r="AB74" s="24" t="str">
        <x:v>设计候选；未声称已实装</x:v>
      </x:c>
    </x:row>
    <x:row r="75" ht="55" customHeight="1">
      <x:c r="A75" s="24" t="n">
        <x:v>91</x:v>
      </x:c>
      <x:c r="B75" s="24" t="str">
        <x:v>G19</x:v>
      </x:c>
      <x:c r="C75" s="24" t="str">
        <x:v>灰铃侍钟机</x:v>
      </x:c>
      <x:c r="D75" s="24" t="str">
        <x:v>金色</x:v>
      </x:c>
      <x:c r="E75" s="24" t="str">
        <x:v>机械无人机</x:v>
      </x:c>
      <x:c r="F75" s="24" t="n">
        <x:v>4</x:v>
      </x:c>
      <x:c r="G75" s="42" t="n">
        <x:v>4</x:v>
      </x:c>
      <x:c r="H75" s="24" t="n">
        <x:v>157</x:v>
      </x:c>
      <x:c r="I75" s="42" t="n">
        <x:v>89</x:v>
      </x:c>
      <x:c r="J75" s="24" t="str">
        <x:v>否</x:v>
      </x:c>
      <x:c r="K75" s="24" t="n">
        <x:v>1</x:v>
      </x:c>
      <x:c r="L75" s="24" t="str">
        <x:v>常驻1台成长型灰铃侍钟无人机；每2.5秒攻击0.30D，击败精英可进化2次，各自相对基础增伤20%；卸装进度保留。</x:v>
      </x:c>
      <x:c r="M75" s="24" t="str">
        <x:v>装备生效且本局合法击败精英</x:v>
      </x:c>
      <x:c r="N75" s="24" t="str">
        <x:v>升级记在owned实例，不因卸装重置；伴机副伤不能产能量</x:v>
      </x:c>
      <x:c r="O75" s="24" t="str">
        <x:v>召唤系统</x:v>
      </x:c>
      <x:c r="P75" s="24" t="str">
        <x:v>P3</x:v>
      </x:c>
      <x:c r="Q75" s="24" t="str">
        <x:v>进化前0.30D/2.5秒极弱但持续免费输出，培养需精英数量，建议89金币。</x:v>
      </x:c>
      <x:c r="R75" s="24" t="str">
        <x:v>中</x:v>
      </x:c>
      <x:c r="S75" s="24" t="str">
        <x:v>机制已评审；数值建议待试玩</x:v>
      </x:c>
      <x:c r="T75" s="24" t="str">
        <x:v>小小的自动修缮机不记得主人，却始终记得守护的命令。</x:v>
      </x:c>
      <x:c r="U75" s="24" t="str">
        <x:v>{"base_damage_ratio_D":0.3,"attack_interval_s":2.5,"evolution_levels":2,"damage_bonus_per_level_pct":20}</x:v>
      </x:c>
      <x:c r="V75" s="24" t="str">
        <x:v>https://github.com/zhipijun1996/gunman-rush/blob/26e7f2a4459623f35613a857da8a75e89daa3e62/scripts/combat/weapon_definition.gd</x:v>
      </x:c>
      <x:c r="W75" s="24" t="n">
        <x:f>IF(OR(F75="",G75=""),"",G75-F75)</x:f>
        <x:v>0</x:v>
      </x:c>
      <x:c r="X75" s="24" t="n">
        <x:f>IF(OR(H75="",I75=""),"",I75-H75)</x:f>
        <x:v>-68</x:v>
      </x:c>
      <x:c r="Y75" s="24" t="n">
        <x:f>IFERROR(ROUND(I75/G75,1),"")</x:f>
        <x:v>22.3</x:v>
      </x:c>
      <x:c r="Z75" s="24" t="str">
        <x:v>数值候选</x:v>
      </x:c>
      <x:c r="AA75" s="24" t="str">
        <x:v>保留</x:v>
      </x:c>
      <x:c r="AB75" s="24" t="str">
        <x:v>设计候选；未声称已实装</x:v>
      </x:c>
    </x:row>
    <x:row r="76" ht="55" customHeight="1">
      <x:c r="A76" s="24" t="str">
        <x:v>新增</x:v>
      </x:c>
      <x:c r="B76" s="24" t="str">
        <x:v>N01</x:v>
      </x:c>
      <x:c r="C76" s="24" t="str">
        <x:v>迟暮钟摆</x:v>
      </x:c>
      <x:c r="D76" s="24" t="str">
        <x:v>紫色</x:v>
      </x:c>
      <x:c r="E76" s="24" t="str">
        <x:v>时间能量</x:v>
      </x:c>
      <x:c r="F76" s="24" t="str"/>
      <x:c r="G76" s="42" t="n">
        <x:v>2</x:v>
      </x:c>
      <x:c r="H76" s="24" t="str"/>
      <x:c r="I76" s="42" t="n">
        <x:v>49</x:v>
      </x:c>
      <x:c r="J76" s="24" t="str">
        <x:v>是</x:v>
      </x:c>
      <x:c r="K76" s="24" t="n">
        <x:v>3</x:v>
      </x:c>
      <x:c r="L76" s="24" t="str">
        <x:v>空中瞄准慢时世界倍率Lv1/2/3为12%/10%/8%，时间能量消耗与2秒预算不变；满血时由满月枪歌0%优先生效。</x:v>
      </x:c>
      <x:c r="M76" s="24" t="str">
        <x:v>空中瞄准慢时</x:v>
      </x:c>
      <x:c r="N76" s="24" t="str">
        <x:v>；同名重复获取只升等级不额外占槽，满级不再进入奖励池</x:v>
      </x:c>
      <x:c r="O76" s="24" t="str">
        <x:v>慢时能力</x:v>
      </x:c>
      <x:c r="P76" s="24" t="str">
        <x:v>P1</x:v>
      </x:c>
      <x:c r="Q76" s="24" t="str">
        <x:v>慢时15%→12/10/8%只加强反应窗口，仍按45时间能耗；与满血0%停止互斥优先。</x:v>
      </x:c>
      <x:c r="R76" s="24" t="str">
        <x:v>低</x:v>
      </x:c>
      <x:c r="S76" s="24" t="str">
        <x:v>新增待复核</x:v>
      </x:c>
      <x:c r="T76" s="24" t="str">
        <x:v>钟摆越走越慢，黄昏便迟迟不肯结束。</x:v>
      </x:c>
      <x:c r="U76" s="24" t="str">
        <x:v>{"world_slow_scale_by_level":[0.12,0.1,0.08],"focus_stamina_cost_multiplier":1.0,"airtime_budget_s":2}</x:v>
      </x:c>
      <x:c r="V76" s="24" t="str">
        <x:v>https://github.com/zhipijun1996/gunman-rush</x:v>
      </x:c>
      <x:c r="W76" s="24" t="str">
        <x:f>IF(OR(F76="",G76=""),"",G76-F76)</x:f>
      </x:c>
      <x:c r="X76" s="24" t="str">
        <x:f>IF(OR(H76="",I76=""),"",I76-H76)</x:f>
      </x:c>
      <x:c r="Y76" s="24" t="n">
        <x:f>IFERROR(ROUND(I76/G76,1),"")</x:f>
        <x:v>24.5</x:v>
      </x:c>
      <x:c r="Z76" s="24" t="str">
        <x:v>数值候选</x:v>
      </x:c>
      <x:c r="AA76" s="24" t="str">
        <x:v>新增候选</x:v>
      </x:c>
      <x:c r="AB76" s="24" t="str">
        <x:v>设计候选；未声称已实装</x:v>
      </x:c>
    </x:row>
    <x:row r="77" ht="55" customHeight="1">
      <x:c r="A77" s="24" t="str">
        <x:v>新增</x:v>
      </x:c>
      <x:c r="B77" s="24" t="str">
        <x:v>N02</x:v>
      </x:c>
      <x:c r="C77" s="24" t="str">
        <x:v>余鸣护甲</x:v>
      </x:c>
      <x:c r="D77" s="24" t="str">
        <x:v>紫色</x:v>
      </x:c>
      <x:c r="E77" s="24" t="str">
        <x:v>主动防御</x:v>
      </x:c>
      <x:c r="F77" s="24" t="str"/>
      <x:c r="G77" s="42" t="n">
        <x:v>2</x:v>
      </x:c>
      <x:c r="H77" s="24" t="str"/>
      <x:c r="I77" s="42" t="n">
        <x:v>52</x:v>
      </x:c>
      <x:c r="J77" s="24" t="str">
        <x:v>否</x:v>
      </x:c>
      <x:c r="K77" s="24" t="n">
        <x:v>1</x:v>
      </x:c>
      <x:c r="L77" s="24" t="str">
        <x:v>主动支付50战斗共鸣，获得最多2点临时护盾；每张地图最多成功释放1次，共享护盾总上限3。</x:v>
      </x:c>
      <x:c r="M77" s="24" t="str">
        <x:v>主动释放，且本地图未曾用过</x:v>
      </x:c>
      <x:c r="N77" s="24" t="str"/>
      <x:c r="O77" s="24" t="str">
        <x:v>共鸣≥50</x:v>
      </x:c>
      <x:c r="P77" s="24" t="str">
        <x:v>P1</x:v>
      </x:c>
      <x:c r="Q77" s="24" t="str">
        <x:v>每图一次50共鸣换2护盾，强于多数普通回血但受上限3和触发限制。</x:v>
      </x:c>
      <x:c r="R77" s="24" t="str">
        <x:v>低</x:v>
      </x:c>
      <x:c r="S77" s="24" t="str">
        <x:v>新增待复核</x:v>
      </x:c>
      <x:c r="T77" s="24" t="str">
        <x:v>钟声散去后，一层看不见的黄铜余响留在旅人身边。</x:v>
      </x:c>
      <x:c r="U77" s="24" t="str">
        <x:v>{"combat_energy_cost":50,"barrier_grant":2,"max_uses_per_map":1,"shared_barrier_cap":3}</x:v>
      </x:c>
      <x:c r="V77" s="24" t="str">
        <x:v>https://github.com/zhipijun1996/gunman-rush</x:v>
      </x:c>
      <x:c r="W77" s="24" t="str">
        <x:f>IF(OR(F77="",G77=""),"",G77-F77)</x:f>
      </x:c>
      <x:c r="X77" s="24" t="str">
        <x:f>IF(OR(H77="",I77=""),"",I77-H77)</x:f>
      </x:c>
      <x:c r="Y77" s="24" t="n">
        <x:f>IFERROR(ROUND(I77/G77,1),"")</x:f>
        <x:v>26</x:v>
      </x:c>
      <x:c r="Z77" s="24" t="str">
        <x:v>数值候选</x:v>
      </x:c>
      <x:c r="AA77" s="24" t="str">
        <x:v>新增候选</x:v>
      </x:c>
      <x:c r="AB77" s="24" t="str">
        <x:v>设计候选；未声称已实装</x:v>
      </x:c>
    </x:row>
  </x:sheetData>
  <x:mergeCells>
    <x:mergeCell ref="A1:AB1"/>
    <x:mergeCell ref="A2:AB2"/>
    <x:mergeCell ref="A4:AB4"/>
  </x:mergeCells>
  <x:conditionalFormatting sqref="R6:R77">
    <x:cfRule type="expression" dxfId="0" priority="1">
      <x:formula>$R6="高"</x:formula>
    </x:cfRule>
  </x:conditionalFormatting>
  <x:conditionalFormatting sqref="X6:X77">
    <x:cfRule type="cellIs" dxfId="1" priority="2" operator="lessThan">
      <x:formula>0</x:formula>
    </x:cfRule>
    <x:cfRule type="cellIs" dxfId="2" priority="3" operator="greaterThan">
      <x:formula>0</x:formula>
    </x:cfRule>
  </x:conditionalFormatting>
  <x:dataValidations count="1">
    <x:dataValidation type="list" sqref="D6:D77">
      <x:formula1>"蓝色,紫色,金色"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1cc8ebcea94d0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9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3" hidden="0" customWidth="1"/>
    <x:col min="12" max="12" width="16" hidden="0" customWidth="1"/>
    <x:col min="13" max="13" width="42" hidden="0" customWidth="1"/>
    <x:col min="14" max="14" width="66" hidden="0" customWidth="1"/>
    <x:col min="15" max="15" width="58" hidden="0" customWidth="1"/>
    <x:col min="16" max="16" width="23" hidden="0" customWidth="1"/>
    <x:col min="17" max="17" width="48" hidden="0" customWidth="1"/>
  </x:cols>
  <x:sheetData>
    <x:row r="1" ht="33" customHeight="1">
      <x:c r="A1" s="4" t="str">
        <x:v>失序之钟 | 九批用户反馈流水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5" customHeight="1">
      <x:c r="A2" s="9" t="str">
        <x:v>91件原始候选逐项评审 + 2件追加 · 删除项目保留为历史记录但不再产出/购买；最后11件也已纳入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 ht="10" customHeight="1"/>
    <x:row r="5" ht="31" customHeight="1">
      <x:c r="A5" s="19" t="str">
        <x:v>评审序号</x:v>
      </x:c>
      <x:c r="B5" s="19" t="str">
        <x:v>道具ID</x:v>
      </x:c>
      <x:c r="C5" s="19" t="str">
        <x:v>当前正式名称</x:v>
      </x:c>
      <x:c r="D5" s="19" t="str">
        <x:v>稀有度</x:v>
      </x:c>
      <x:c r="E5" s="19" t="str">
        <x:v>第几批</x:v>
      </x:c>
      <x:c r="F5" s="19" t="str">
        <x:v>用户最终意见</x:v>
      </x:c>
      <x:c r="G5" s="19" t="str">
        <x:v>V4负荷</x:v>
      </x:c>
      <x:c r="H5" s="19" t="str">
        <x:v>V5负荷建议</x:v>
      </x:c>
      <x:c r="I5" s="19" t="str">
        <x:v>V4金币价</x:v>
      </x:c>
      <x:c r="J5" s="19" t="str">
        <x:v>V5金币价建议</x:v>
      </x:c>
      <x:c r="K5" s="19" t="str">
        <x:v>升级上限</x:v>
      </x:c>
      <x:c r="L5" s="19" t="str">
        <x:v>是否进入正式池</x:v>
      </x:c>
      <x:c r="M5" s="19" t="str">
        <x:v>修改说明</x:v>
      </x:c>
      <x:c r="N5" s="19" t="str">
        <x:v>当前效果/删除处理</x:v>
      </x:c>
      <x:c r="O5" s="19" t="str">
        <x:v>平衡说明</x:v>
      </x:c>
      <x:c r="P5" s="19" t="str">
        <x:v>状态</x:v>
      </x:c>
      <x:c r="Q5" s="19" t="str">
        <x:v>原始V4数据来源</x:v>
      </x:c>
    </x:row>
    <x:row r="6" ht="43" customHeight="1">
      <x:c r="A6" s="24" t="n">
        <x:v>1</x:v>
      </x:c>
      <x:c r="B6" s="24" t="str">
        <x:v>B03</x:v>
      </x:c>
      <x:c r="C6" s="24" t="str">
        <x:v>薄暮枪管</x:v>
      </x:c>
      <x:c r="D6" s="24" t="str">
        <x:v>蓝色</x:v>
      </x:c>
      <x:c r="E6" s="24" t="str">
        <x:v>第1批</x:v>
      </x:c>
      <x:c r="F6" s="24" t="str">
        <x:v>修改</x:v>
      </x:c>
      <x:c r="G6" s="24" t="n">
        <x:v>2</x:v>
      </x:c>
      <x:c r="H6" s="24" t="n">
        <x:v>2</x:v>
      </x:c>
      <x:c r="I6" s="24" t="n">
        <x:v>32</x:v>
      </x:c>
      <x:c r="J6" s="24" t="n">
        <x:v>28</x:v>
      </x:c>
      <x:c r="K6" s="24" t="n">
        <x:v>3</x:v>
      </x:c>
      <x:c r="L6" s="24" t="str">
        <x:v>是</x:v>
      </x:c>
      <x:c r="M6" s="24" t="str">
        <x:v>已根据用户确认机制整理，并补充V5建议数值</x:v>
      </x:c>
      <x:c r="N6" s="24" t="str">
        <x:v>Lv1/2/3 主武器基础直接伤害分别+12%/+22%/+32%；技能、灼烧和衍生伤害不重复乘算。</x:v>
      </x:c>
      <x:c r="O6" s="24" t="str">
        <x:v>最易用的通用增伤，三级+32%靠重复获得；价格略降以鼓励成套构筑。</x:v>
      </x:c>
      <x:c r="P6" s="24" t="str">
        <x:v>机制定稿/平衡建议待验</x:v>
      </x:c>
      <x:c r="Q6" s="24" t="str">
        <x:v>https://github.com/zhipijun1996/gunman-rush/blob/26e7f2a4459623f35613a857da8a75e89daa3e62/scripts/combat/weapon_definition.gd</x:v>
      </x:c>
    </x:row>
    <x:row r="7" ht="43" customHeight="1">
      <x:c r="A7" s="24" t="n">
        <x:v>2</x:v>
      </x:c>
      <x:c r="B7" s="24" t="str">
        <x:v>B05</x:v>
      </x:c>
      <x:c r="C7" s="24" t="str">
        <x:v>疾鸣撞针</x:v>
      </x:c>
      <x:c r="D7" s="24" t="str">
        <x:v>蓝色</x:v>
      </x:c>
      <x:c r="E7" s="24" t="str">
        <x:v>第1批</x:v>
      </x:c>
      <x:c r="F7" s="24" t="str">
        <x:v>保留</x:v>
      </x:c>
      <x:c r="G7" s="24" t="n">
        <x:v>2</x:v>
      </x:c>
      <x:c r="H7" s="24" t="n">
        <x:v>2</x:v>
      </x:c>
      <x:c r="I7" s="24" t="n">
        <x:v>32</x:v>
      </x:c>
      <x:c r="J7" s="24" t="n">
        <x:v>25</x:v>
      </x:c>
      <x:c r="K7" s="24" t="n">
        <x:v>1</x:v>
      </x:c>
      <x:c r="L7" s="24" t="str">
        <x:v>是</x:v>
      </x:c>
      <x:c r="M7" s="24" t="str">
        <x:v>已根据用户确认机制整理，并补充V5建议数值</x:v>
      </x:c>
      <x:c r="N7" s="24" t="str">
        <x:v>主武器冷却×0.88（脉冲枪0.25→0.22秒），受最低射击间隔限制，不替代松手射击。</x:v>
      </x:c>
      <x:c r="O7" s="24" t="str">
        <x:v>伤害频率受0.25秒冷却与空中1发资格限制；改为25金更匹配实际收益。</x:v>
      </x:c>
      <x:c r="P7" s="24" t="str">
        <x:v>机制定稿/平衡建议待验</x:v>
      </x:c>
      <x:c r="Q7" s="24" t="str">
        <x:v>https://github.com/zhipijun1996/gunman-rush/blob/26e7f2a4459623f35613a857da8a75e89daa3e62/scripts/combat/weapon_definition.gd</x:v>
      </x:c>
    </x:row>
    <x:row r="8" ht="43" customHeight="1">
      <x:c r="A8" s="24" t="n">
        <x:v>3</x:v>
      </x:c>
      <x:c r="B8" s="24" t="str">
        <x:v>B22</x:v>
      </x:c>
      <x:c r="C8" s="24" t="str">
        <x:v>扩震钟环</x:v>
      </x:c>
      <x:c r="D8" s="24" t="str">
        <x:v>蓝色</x:v>
      </x:c>
      <x:c r="E8" s="24" t="str">
        <x:v>第1批</x:v>
      </x:c>
      <x:c r="F8" s="24" t="str">
        <x:v>修改</x:v>
      </x:c>
      <x:c r="G8" s="24" t="n">
        <x:v>2</x:v>
      </x:c>
      <x:c r="H8" s="24" t="n">
        <x:v>2</x:v>
      </x:c>
      <x:c r="I8" s="24" t="n">
        <x:v>35</x:v>
      </x:c>
      <x:c r="J8" s="24" t="n">
        <x:v>29</x:v>
      </x:c>
      <x:c r="K8" s="24" t="n">
        <x:v>3</x:v>
      </x:c>
      <x:c r="L8" s="24" t="str">
        <x:v>是</x:v>
      </x:c>
      <x:c r="M8" s="24" t="str">
        <x:v>已根据用户确认机制整理，并补充V5建议数值</x:v>
      </x:c>
      <x:c r="N8" s="24" t="str">
        <x:v>三种炸弹武器（含其升级形态）的爆炸伤害判定半径×1.12/1.20/1.28；不改变磁吸范围、伤害或人物位移。</x:v>
      </x:c>
      <x:c r="O8" s="24" t="str">
        <x:v>三种炸弹共用，Lv3半径+28%范围面积约+64%，容易过强；保留不增伤。</x:v>
      </x:c>
      <x:c r="P8" s="24" t="str">
        <x:v>机制定稿/平衡建议待验</x:v>
      </x:c>
      <x:c r="Q8" s="24" t="str">
        <x:v>https://github.com/zhipijun1996/gunman-rush/blob/26e7f2a4459623f35613a857da8a75e89daa3e62/scripts/combat/weapon_definition.gd</x:v>
      </x:c>
    </x:row>
    <x:row r="9" ht="43" customHeight="1">
      <x:c r="A9" s="24" t="n">
        <x:v>4</x:v>
      </x:c>
      <x:c r="B9" s="24" t="str">
        <x:v>B25</x:v>
      </x:c>
      <x:c r="C9" s="24" t="str">
        <x:v>三叉散针</x:v>
      </x:c>
      <x:c r="D9" s="24" t="str">
        <x:v>蓝色</x:v>
      </x:c>
      <x:c r="E9" s="24" t="str">
        <x:v>第1批</x:v>
      </x:c>
      <x:c r="F9" s="24" t="str">
        <x:v>删除</x:v>
      </x:c>
      <x:c r="G9" s="24" t="n">
        <x:v>4</x:v>
      </x:c>
      <x:c r="H9" s="24" t="str"/>
      <x:c r="I9" s="24" t="n">
        <x:v>38</x:v>
      </x:c>
      <x:c r="J9" s="24" t="str"/>
      <x:c r="K9" s="24" t="str"/>
      <x:c r="L9" s="24" t="str">
        <x:v>否</x:v>
      </x:c>
      <x:c r="M9" s="24" t="str">
        <x:v>用户明确删除，保留历史以便追溯</x:v>
      </x:c>
      <x:c r="N9" s="24" t="str">
        <x:v>已移出奖励、商店和联动有效池</x:v>
      </x:c>
      <x:c r="O9" s="24" t="str">
        <x:v>无需继续做价格平衡</x:v>
      </x:c>
      <x:c r="P9" s="24" t="str">
        <x:v>已删除</x:v>
      </x:c>
      <x:c r="Q9" s="24" t="str">
        <x:v>https://github.com/zhipijun1996/gunman-rush/blob/26e7f2a4459623f35613a857da8a75e89daa3e62/scripts/combat/weapon_definition.gd</x:v>
      </x:c>
    </x:row>
    <x:row r="10" ht="43" customHeight="1">
      <x:c r="A10" s="24" t="n">
        <x:v>5</x:v>
      </x:c>
      <x:c r="B10" s="24" t="str">
        <x:v>B29</x:v>
      </x:c>
      <x:c r="C10" s="24" t="str">
        <x:v>薄钟长管</x:v>
      </x:c>
      <x:c r="D10" s="24" t="str">
        <x:v>蓝色</x:v>
      </x:c>
      <x:c r="E10" s="24" t="str">
        <x:v>第1批</x:v>
      </x:c>
      <x:c r="F10" s="24" t="str">
        <x:v>修改</x:v>
      </x:c>
      <x:c r="G10" s="24" t="n">
        <x:v>3</x:v>
      </x:c>
      <x:c r="H10" s="24" t="n">
        <x:v>1</x:v>
      </x:c>
      <x:c r="I10" s="24" t="n">
        <x:v>32</x:v>
      </x:c>
      <x:c r="J10" s="24" t="n">
        <x:v>25</x:v>
      </x:c>
      <x:c r="K10" s="24" t="n">
        <x:v>3</x:v>
      </x:c>
      <x:c r="L10" s="24" t="str">
        <x:v>是</x:v>
      </x:c>
      <x:c r="M10" s="24" t="str">
        <x:v>已根据用户确认机制整理，并补充V5建议数值</x:v>
      </x:c>
      <x:c r="N10" s="24" t="str">
        <x:v>普通枪械弹体有效射程×1.20/1.35/1.50，固定1齿轮槽，不穿墙。</x:v>
      </x:c>
      <x:c r="O10" s="24" t="str">
        <x:v>+20/35/50%射程不增移速，1槽才合理；对激光等非弹体模式需筛选。</x:v>
      </x:c>
      <x:c r="P10" s="24" t="str">
        <x:v>机制定稿/平衡建议待验</x:v>
      </x:c>
      <x:c r="Q10" s="24" t="str">
        <x:v>https://github.com/zhipijun1996/gunman-rush/blob/26e7f2a4459623f35613a857da8a75e89daa3e62/scripts/combat/weapon_definition.gd</x:v>
      </x:c>
    </x:row>
    <x:row r="11" ht="43" customHeight="1">
      <x:c r="A11" s="24" t="n">
        <x:v>6</x:v>
      </x:c>
      <x:c r="B11" s="24" t="str">
        <x:v>B31</x:v>
      </x:c>
      <x:c r="C11" s="24" t="str">
        <x:v>敲钟重锤</x:v>
      </x:c>
      <x:c r="D11" s="24" t="str">
        <x:v>蓝色</x:v>
      </x:c>
      <x:c r="E11" s="24" t="str">
        <x:v>第1批</x:v>
      </x:c>
      <x:c r="F11" s="24" t="str">
        <x:v>保留</x:v>
      </x:c>
      <x:c r="G11" s="24" t="n">
        <x:v>2</x:v>
      </x:c>
      <x:c r="H11" s="24" t="n">
        <x:v>2</x:v>
      </x:c>
      <x:c r="I11" s="24" t="n">
        <x:v>30</x:v>
      </x:c>
      <x:c r="J11" s="24" t="n">
        <x:v>29</x:v>
      </x:c>
      <x:c r="K11" s="24" t="n">
        <x:v>1</x:v>
      </x:c>
      <x:c r="L11" s="24" t="str">
        <x:v>是</x:v>
      </x:c>
      <x:c r="M11" s="24" t="str">
        <x:v>已根据用户确认机制整理，并补充V5建议数值</x:v>
      </x:c>
      <x:c r="N11" s="24" t="str">
        <x:v>非Boss敌人的有效受击硬直×1.30</x:v>
      </x:c>
      <x:c r="O11" s="24" t="str">
        <x:v>控制类道具不直接提升Boss输出，只对可硬直普通怪有效，29金。</x:v>
      </x:c>
      <x:c r="P11" s="24" t="str">
        <x:v>机制定稿/平衡建议待验</x:v>
      </x:c>
      <x:c r="Q11" s="24" t="str">
        <x:v>https://github.com/zhipijun1996/gunman-rush/blob/26e7f2a4459623f35613a857da8a75e89daa3e62/scripts/combat/weapon_definition.gd</x:v>
      </x:c>
    </x:row>
    <x:row r="12" ht="43" customHeight="1">
      <x:c r="A12" s="24" t="n">
        <x:v>7</x:v>
      </x:c>
      <x:c r="B12" s="24" t="str">
        <x:v>P03</x:v>
      </x:c>
      <x:c r="C12" s="24" t="str">
        <x:v>术式增幅石</x:v>
      </x:c>
      <x:c r="D12" s="24" t="str">
        <x:v>紫色</x:v>
      </x:c>
      <x:c r="E12" s="24" t="str">
        <x:v>第1批</x:v>
      </x:c>
      <x:c r="F12" s="24" t="str">
        <x:v>修改</x:v>
      </x:c>
      <x:c r="G12" s="24" t="n">
        <x:v>3</x:v>
      </x:c>
      <x:c r="H12" s="24" t="n">
        <x:v>3</x:v>
      </x:c>
      <x:c r="I12" s="24" t="n">
        <x:v>80</x:v>
      </x:c>
      <x:c r="J12" s="24" t="n">
        <x:v>54</x:v>
      </x:c>
      <x:c r="K12" s="24" t="n">
        <x:v>3</x:v>
      </x:c>
      <x:c r="L12" s="24" t="str">
        <x:v>是</x:v>
      </x:c>
      <x:c r="M12" s="24" t="str">
        <x:v>已根据用户确认机制整理，并补充V5建议数值</x:v>
      </x:c>
      <x:c r="N12" s="24" t="str">
        <x:v>Lv3武器主动技能直接伤害Lv1/2/3分别×1.20/1.30/1.40，位移与技能资源成本不变。</x:v>
      </x:c>
      <x:c r="O12" s="24" t="str">
        <x:v>Lv3前置强，对所有Lv3主动直伤+20/30/40%，价格54、3槽；位移不强化。</x:v>
      </x:c>
      <x:c r="P12" s="24" t="str">
        <x:v>机制定稿/平衡建议待验</x:v>
      </x:c>
      <x:c r="Q12" s="24" t="str">
        <x:v>https://github.com/zhipijun1996/gunman-rush/blob/26e7f2a4459623f35613a857da8a75e89daa3e62/scripts/resources/state/combat_energy_state.gd</x:v>
      </x:c>
    </x:row>
    <x:row r="13" ht="43" customHeight="1">
      <x:c r="A13" s="24" t="n">
        <x:v>8</x:v>
      </x:c>
      <x:c r="B13" s="24" t="str">
        <x:v>P06</x:v>
      </x:c>
      <x:c r="C13" s="24" t="str">
        <x:v>满月枪歌</x:v>
      </x:c>
      <x:c r="D13" s="24" t="str">
        <x:v>紫色</x:v>
      </x:c>
      <x:c r="E13" s="24" t="str">
        <x:v>第1批</x:v>
      </x:c>
      <x:c r="F13" s="24" t="str">
        <x:v>修改</x:v>
      </x:c>
      <x:c r="G13" s="24" t="n">
        <x:v>3</x:v>
      </x:c>
      <x:c r="H13" s="24" t="n">
        <x:v>3</x:v>
      </x:c>
      <x:c r="I13" s="24" t="n">
        <x:v>63</x:v>
      </x:c>
      <x:c r="J13" s="24" t="n">
        <x:v>61</x:v>
      </x:c>
      <x:c r="K13" s="24" t="n">
        <x:v>1</x:v>
      </x:c>
      <x:c r="L13" s="24" t="str">
        <x:v>是</x:v>
      </x:c>
      <x:c r="M13" s="24" t="str">
        <x:v>已根据用户确认机制整理，并补充V5建议数值</x:v>
      </x:c>
      <x:c r="N13" s="24" t="str">
        <x:v>满血时，将原空中瞄准世界15%慢时替换为世界完全停止(0%)；依然消耗原时间能量，单次腾空慢时2秒预算不变；唯一等级。</x:v>
      </x:c>
      <x:c r="O13" s="24" t="str">
        <x:v>满血慢时15%→停止极强但满血条件+45时间能耗限制，保持3槽，售价略提。</x:v>
      </x:c>
      <x:c r="P13" s="24" t="str">
        <x:v>机制定稿/平衡建议待验</x:v>
      </x:c>
      <x:c r="Q13" s="24" t="str">
        <x:v>https://github.com/zhipijun1996/gunman-rush/blob/26e7f2a4459623f35613a857da8a75e89daa3e62/scripts/combat/weapon_definition.gd</x:v>
      </x:c>
    </x:row>
    <x:row r="14" ht="43" customHeight="1">
      <x:c r="A14" s="24" t="n">
        <x:v>9</x:v>
      </x:c>
      <x:c r="B14" s="24" t="str">
        <x:v>P07</x:v>
      </x:c>
      <x:c r="C14" s="24" t="str">
        <x:v>裂巢鸣弹</x:v>
      </x:c>
      <x:c r="D14" s="24" t="str">
        <x:v>紫色</x:v>
      </x:c>
      <x:c r="E14" s="24" t="str">
        <x:v>第1批</x:v>
      </x:c>
      <x:c r="F14" s="24" t="str">
        <x:v>删除</x:v>
      </x:c>
      <x:c r="G14" s="24" t="n">
        <x:v>4</x:v>
      </x:c>
      <x:c r="H14" s="24" t="str"/>
      <x:c r="I14" s="24" t="n">
        <x:v>74</x:v>
      </x:c>
      <x:c r="J14" s="24" t="str"/>
      <x:c r="K14" s="24" t="str"/>
      <x:c r="L14" s="24" t="str">
        <x:v>否</x:v>
      </x:c>
      <x:c r="M14" s="24" t="str">
        <x:v>用户明确删除，保留历史以便追溯</x:v>
      </x:c>
      <x:c r="N14" s="24" t="str">
        <x:v>已移出奖励、商店和联动有效池</x:v>
      </x:c>
      <x:c r="O14" s="24" t="str">
        <x:v>无需继续做价格平衡</x:v>
      </x:c>
      <x:c r="P14" s="24" t="str">
        <x:v>已删除</x:v>
      </x:c>
      <x:c r="Q14" s="24" t="str">
        <x:v>https://github.com/zhipijun1996/gunman-rush/blob/26e7f2a4459623f35613a857da8a75e89daa3e62/scripts/combat/weapon_definition.gd</x:v>
      </x:c>
    </x:row>
    <x:row r="15" ht="43" customHeight="1">
      <x:c r="A15" s="24" t="n">
        <x:v>10</x:v>
      </x:c>
      <x:c r="B15" s="24" t="str">
        <x:v>P08</x:v>
      </x:c>
      <x:c r="C15" s="24" t="str">
        <x:v>穿响音叉</x:v>
      </x:c>
      <x:c r="D15" s="24" t="str">
        <x:v>紫色</x:v>
      </x:c>
      <x:c r="E15" s="24" t="str">
        <x:v>第1批</x:v>
      </x:c>
      <x:c r="F15" s="24" t="str">
        <x:v>修改</x:v>
      </x:c>
      <x:c r="G15" s="24" t="n">
        <x:v>3</x:v>
      </x:c>
      <x:c r="H15" s="24" t="n">
        <x:v>3</x:v>
      </x:c>
      <x:c r="I15" s="24" t="n">
        <x:v>61</x:v>
      </x:c>
      <x:c r="J15" s="24" t="n">
        <x:v>48</x:v>
      </x:c>
      <x:c r="K15" s="24" t="n">
        <x:v>3</x:v>
      </x:c>
      <x:c r="L15" s="24" t="str">
        <x:v>是</x:v>
      </x:c>
      <x:c r="M15" s="24" t="str">
        <x:v>已根据用户确认机制整理，并补充V5建议数值</x:v>
      </x:c>
      <x:c r="N15" s="24" t="str">
        <x:v>主弹多贯穿1名额外敌人；被贯穿目标伤害Lv1/2/3为0.65/0.80/0.95D，无法穿实体墙。</x:v>
      </x:c>
      <x:c r="O15" s="24" t="str">
        <x:v>穿透只能作用于有第二目标的遭遇，不加单体Boss伤害，定价48。</x:v>
      </x:c>
      <x:c r="P15" s="24" t="str">
        <x:v>机制定稿/平衡建议待验</x:v>
      </x:c>
      <x:c r="Q15" s="24" t="str">
        <x:v>https://github.com/zhipijun1996/gunman-rush/blob/26e7f2a4459623f35613a857da8a75e89daa3e62/scripts/combat/weapon_definition.gd</x:v>
      </x:c>
    </x:row>
    <x:row r="16" ht="43" customHeight="1">
      <x:c r="A16" s="24" t="n">
        <x:v>11</x:v>
      </x:c>
      <x:c r="B16" s="24" t="str">
        <x:v>P21</x:v>
      </x:c>
      <x:c r="C16" s="24" t="str">
        <x:v>折返回刃</x:v>
      </x:c>
      <x:c r="D16" s="24" t="str">
        <x:v>紫色</x:v>
      </x:c>
      <x:c r="E16" s="24" t="str">
        <x:v>第2批</x:v>
      </x:c>
      <x:c r="F16" s="24" t="str">
        <x:v>删除</x:v>
      </x:c>
      <x:c r="G16" s="24" t="n">
        <x:v>2</x:v>
      </x:c>
      <x:c r="H16" s="24" t="str"/>
      <x:c r="I16" s="24" t="n">
        <x:v>72</x:v>
      </x:c>
      <x:c r="J16" s="24" t="str"/>
      <x:c r="K16" s="24" t="str"/>
      <x:c r="L16" s="24" t="str">
        <x:v>否</x:v>
      </x:c>
      <x:c r="M16" s="24" t="str">
        <x:v>用户明确删除，保留历史以便追溯</x:v>
      </x:c>
      <x:c r="N16" s="24" t="str">
        <x:v>已移出奖励、商店和联动有效池</x:v>
      </x:c>
      <x:c r="O16" s="24" t="str">
        <x:v>无需继续做价格平衡</x:v>
      </x:c>
      <x:c r="P16" s="24" t="str">
        <x:v>已删除</x:v>
      </x:c>
      <x:c r="Q16" s="24" t="str">
        <x:v>https://github.com/zhipijun1996/gunman-rush/blob/26e7f2a4459623f35613a857da8a75e89daa3e62/scripts/combat/weapon_definition.gd</x:v>
      </x:c>
    </x:row>
    <x:row r="17" ht="43" customHeight="1">
      <x:c r="A17" s="24" t="n">
        <x:v>12</x:v>
      </x:c>
      <x:c r="B17" s="24" t="str">
        <x:v>P22</x:v>
      </x:c>
      <x:c r="C17" s="24" t="str">
        <x:v>散华折瓣</x:v>
      </x:c>
      <x:c r="D17" s="24" t="str">
        <x:v>紫色</x:v>
      </x:c>
      <x:c r="E17" s="24" t="str">
        <x:v>第2批</x:v>
      </x:c>
      <x:c r="F17" s="24" t="str">
        <x:v>删除</x:v>
      </x:c>
      <x:c r="G17" s="24" t="n">
        <x:v>2</x:v>
      </x:c>
      <x:c r="H17" s="24" t="str"/>
      <x:c r="I17" s="24" t="n">
        <x:v>71</x:v>
      </x:c>
      <x:c r="J17" s="24" t="str"/>
      <x:c r="K17" s="24" t="str"/>
      <x:c r="L17" s="24" t="str">
        <x:v>否</x:v>
      </x:c>
      <x:c r="M17" s="24" t="str">
        <x:v>用户明确删除，保留历史以便追溯</x:v>
      </x:c>
      <x:c r="N17" s="24" t="str">
        <x:v>已移出奖励、商店和联动有效池</x:v>
      </x:c>
      <x:c r="O17" s="24" t="str">
        <x:v>无需继续做价格平衡</x:v>
      </x:c>
      <x:c r="P17" s="24" t="str">
        <x:v>已删除</x:v>
      </x:c>
      <x:c r="Q17" s="24" t="str">
        <x:v>https://github.com/zhipijun1996/gunman-rush/blob/26e7f2a4459623f35613a857da8a75e89daa3e62/scripts/combat/weapon_definition.gd</x:v>
      </x:c>
    </x:row>
    <x:row r="18" ht="43" customHeight="1">
      <x:c r="A18" s="24" t="n">
        <x:v>13</x:v>
      </x:c>
      <x:c r="B18" s="24" t="str">
        <x:v>P23</x:v>
      </x:c>
      <x:c r="C18" s="24" t="str">
        <x:v>奇点余振环</x:v>
      </x:c>
      <x:c r="D18" s="24" t="str">
        <x:v>紫色</x:v>
      </x:c>
      <x:c r="E18" s="24" t="str">
        <x:v>第2批</x:v>
      </x:c>
      <x:c r="F18" s="24" t="str">
        <x:v>保留</x:v>
      </x:c>
      <x:c r="G18" s="24" t="n">
        <x:v>2</x:v>
      </x:c>
      <x:c r="H18" s="24" t="n">
        <x:v>2</x:v>
      </x:c>
      <x:c r="I18" s="24" t="n">
        <x:v>78</x:v>
      </x:c>
      <x:c r="J18" s="24" t="n">
        <x:v>53</x:v>
      </x:c>
      <x:c r="K18" s="24" t="n">
        <x:v>1</x:v>
      </x:c>
      <x:c r="L18" s="24" t="str">
        <x:v>是</x:v>
      </x:c>
      <x:c r="M18" s="24" t="str">
        <x:v>已根据用户确认机制整理，并补充V5建议数值</x:v>
      </x:c>
      <x:c r="N18" s="24" t="str">
        <x:v>坍缩奇点吸引持续+0.12秒（基础0.42→0.54秒），爆炸伤害×1.10；不能远程安放。</x:v>
      </x:c>
      <x:c r="O18" s="24" t="str">
        <x:v>奇点+0.12秒吸引且爆炸+10%，只一种武器，原78金过贵，53金。</x:v>
      </x:c>
      <x:c r="P18" s="24" t="str">
        <x:v>机制定稿/平衡建议待验</x:v>
      </x:c>
      <x:c r="Q18" s="24" t="str">
        <x:v>https://github.com/zhipijun1996/gunman-rush/blob/26e7f2a4459623f35613a857da8a75e89daa3e62/scripts/combat/weapon_definition.gd</x:v>
      </x:c>
    </x:row>
    <x:row r="19" ht="43" customHeight="1">
      <x:c r="A19" s="24" t="n">
        <x:v>14</x:v>
      </x:c>
      <x:c r="B19" s="24" t="str">
        <x:v>P31</x:v>
      </x:c>
      <x:c r="C19" s="24" t="str">
        <x:v>刻风膛室</x:v>
      </x:c>
      <x:c r="D19" s="24" t="str">
        <x:v>紫色</x:v>
      </x:c>
      <x:c r="E19" s="24" t="str">
        <x:v>第2批</x:v>
      </x:c>
      <x:c r="F19" s="24" t="str">
        <x:v>修改</x:v>
      </x:c>
      <x:c r="G19" s="24" t="n">
        <x:v>3</x:v>
      </x:c>
      <x:c r="H19" s="24" t="n">
        <x:v>3</x:v>
      </x:c>
      <x:c r="I19" s="24" t="n">
        <x:v>67</x:v>
      </x:c>
      <x:c r="J19" s="24" t="n">
        <x:v>49</x:v>
      </x:c>
      <x:c r="K19" s="24" t="n">
        <x:v>3</x:v>
      </x:c>
      <x:c r="L19" s="24" t="str">
        <x:v>是</x:v>
      </x:c>
      <x:c r="M19" s="24" t="str">
        <x:v>已根据用户确认机制整理，并补充V5建议数值</x:v>
      </x:c>
      <x:c r="N19" s="24" t="str">
        <x:v>空中主武器实际反冲并有效命中时额外造成0.45/0.65/0.85D；每个攻击包最多触发一次，CD1.5秒。</x:v>
      </x:c>
      <x:c r="O19" s="24" t="str">
        <x:v>空中反冲命中才有0.45~0.85D额外爆发，P0可做通用命中事件验证。</x:v>
      </x:c>
      <x:c r="P19" s="24" t="str">
        <x:v>机制定稿/平衡建议待验</x:v>
      </x:c>
      <x:c r="Q19" s="24" t="str">
        <x:v>https://github.com/zhipijun1996/gunman-rush/blob/26e7f2a4459623f35613a857da8a75e89daa3e62/scripts/combat/weapon_definition.gd</x:v>
      </x:c>
    </x:row>
    <x:row r="20" ht="43" customHeight="1">
      <x:c r="A20" s="24" t="n">
        <x:v>15</x:v>
      </x:c>
      <x:c r="B20" s="24" t="str">
        <x:v>P33</x:v>
      </x:c>
      <x:c r="C20" s="24" t="str">
        <x:v>恒辉折镜</x:v>
      </x:c>
      <x:c r="D20" s="24" t="str">
        <x:v>紫色</x:v>
      </x:c>
      <x:c r="E20" s="24" t="str">
        <x:v>第2批</x:v>
      </x:c>
      <x:c r="F20" s="24" t="str">
        <x:v>保留</x:v>
      </x:c>
      <x:c r="G20" s="24" t="n">
        <x:v>3</x:v>
      </x:c>
      <x:c r="H20" s="24" t="n">
        <x:v>2</x:v>
      </x:c>
      <x:c r="I20" s="24" t="n">
        <x:v>80</x:v>
      </x:c>
      <x:c r="J20" s="24" t="n">
        <x:v>51</x:v>
      </x:c>
      <x:c r="K20" s="24" t="n">
        <x:v>1</x:v>
      </x:c>
      <x:c r="L20" s="24" t="str">
        <x:v>是</x:v>
      </x:c>
      <x:c r="M20" s="24" t="str">
        <x:v>已根据用户确认机制整理，并补充V5建议数值</x:v>
      </x:c>
      <x:c r="N20" s="24" t="str">
        <x:v>激光有效命中宽度×1.12，不改变中心射线与持续伤害结算频率。</x:v>
      </x:c>
      <x:c r="O20" s="24" t="str">
        <x:v>激光碰撞宽度+12%，仅一支武器，原3槽过重建议2槽。</x:v>
      </x:c>
      <x:c r="P20" s="24" t="str">
        <x:v>机制定稿/平衡建议待验</x:v>
      </x:c>
      <x:c r="Q20" s="24" t="str">
        <x:v>https://github.com/zhipijun1996/gunman-rush/blob/26e7f2a4459623f35613a857da8a75e89daa3e62/scripts/combat/weapon_definition.gd</x:v>
      </x:c>
    </x:row>
    <x:row r="21" ht="43" customHeight="1">
      <x:c r="A21" s="24" t="n">
        <x:v>16</x:v>
      </x:c>
      <x:c r="B21" s="24" t="str">
        <x:v>P34</x:v>
      </x:c>
      <x:c r="C21" s="24" t="str">
        <x:v>连奏梭轮</x:v>
      </x:c>
      <x:c r="D21" s="24" t="str">
        <x:v>紫色</x:v>
      </x:c>
      <x:c r="E21" s="24" t="str">
        <x:v>第2批</x:v>
      </x:c>
      <x:c r="F21" s="24" t="str">
        <x:v>保留</x:v>
      </x:c>
      <x:c r="G21" s="24" t="n">
        <x:v>2</x:v>
      </x:c>
      <x:c r="H21" s="24" t="n">
        <x:v>2</x:v>
      </x:c>
      <x:c r="I21" s="24" t="n">
        <x:v>78</x:v>
      </x:c>
      <x:c r="J21" s="24" t="n">
        <x:v>50</x:v>
      </x:c>
      <x:c r="K21" s="24" t="n">
        <x:v>1</x:v>
      </x:c>
      <x:c r="L21" s="24" t="str">
        <x:v>是</x:v>
      </x:c>
      <x:c r="M21" s="24" t="str">
        <x:v>已根据用户确认机制整理，并补充V5建议数值</x:v>
      </x:c>
      <x:c r="N21" s="24" t="str">
        <x:v>三连枪第三发真实命中时产生0.30D冲击波；三连射共用一个攻击包。</x:v>
      </x:c>
      <x:c r="O21" s="24" t="str">
        <x:v>第三发需要真实命中才产生0.30D范围波，装备2槽，50金。</x:v>
      </x:c>
      <x:c r="P21" s="24" t="str">
        <x:v>机制定稿/平衡建议待验</x:v>
      </x:c>
      <x:c r="Q21" s="24" t="str">
        <x:v>https://github.com/zhipijun1996/gunman-rush/blob/26e7f2a4459623f35613a857da8a75e89daa3e62/scripts/combat/weapon_definition.gd</x:v>
      </x:c>
    </x:row>
    <x:row r="22" ht="43" customHeight="1">
      <x:c r="A22" s="24" t="n">
        <x:v>17</x:v>
      </x:c>
      <x:c r="B22" s="24" t="str">
        <x:v>B07</x:v>
      </x:c>
      <x:c r="C22" s="24" t="str">
        <x:v>定脚支架</x:v>
      </x:c>
      <x:c r="D22" s="24" t="str">
        <x:v>蓝色</x:v>
      </x:c>
      <x:c r="E22" s="24" t="str">
        <x:v>第2批</x:v>
      </x:c>
      <x:c r="F22" s="24" t="str">
        <x:v>保留</x:v>
      </x:c>
      <x:c r="G22" s="24" t="n">
        <x:v>1</x:v>
      </x:c>
      <x:c r="H22" s="24" t="n">
        <x:v>1</x:v>
      </x:c>
      <x:c r="I22" s="24" t="n">
        <x:v>27</x:v>
      </x:c>
      <x:c r="J22" s="24" t="n">
        <x:v>22</x:v>
      </x:c>
      <x:c r="K22" s="24" t="n">
        <x:v>1</x:v>
      </x:c>
      <x:c r="L22" s="24" t="str">
        <x:v>是</x:v>
      </x:c>
      <x:c r="M22" s="24" t="str">
        <x:v>已根据用户确认机制整理，并补充V5建议数值</x:v>
      </x:c>
      <x:c r="N22" s="24" t="str">
        <x:v>地面射击反冲系数×0.70（0.55→0.385）；空中1100×0.14反冲不变。</x:v>
      </x:c>
      <x:c r="O22" s="24" t="str">
        <x:v>地面反冲抑制便于守位但不适合跨越，1槽便宜、明确取舍。</x:v>
      </x:c>
      <x:c r="P22" s="24" t="str">
        <x:v>机制定稿/平衡建议待验</x:v>
      </x:c>
      <x:c r="Q22" s="24" t="str">
        <x:v>https://github.com/zhipijun1996/gunman-rush/blob/26e7f2a4459623f35613a857da8a75e89daa3e62/scripts/combat/weapon_definition.gd</x:v>
      </x:c>
    </x:row>
    <x:row r="23" ht="43" customHeight="1">
      <x:c r="A23" s="24" t="n">
        <x:v>18</x:v>
      </x:c>
      <x:c r="B23" s="24" t="str">
        <x:v>B08</x:v>
      </x:c>
      <x:c r="C23" s="24" t="str">
        <x:v>止滑钟靴</x:v>
      </x:c>
      <x:c r="D23" s="24" t="str">
        <x:v>蓝色</x:v>
      </x:c>
      <x:c r="E23" s="24" t="str">
        <x:v>第2批</x:v>
      </x:c>
      <x:c r="F23" s="24" t="str">
        <x:v>修改</x:v>
      </x:c>
      <x:c r="G23" s="24" t="n">
        <x:v>2</x:v>
      </x:c>
      <x:c r="H23" s="24" t="n">
        <x:v>2</x:v>
      </x:c>
      <x:c r="I23" s="24" t="n">
        <x:v>28</x:v>
      </x:c>
      <x:c r="J23" s="24" t="n">
        <x:v>24</x:v>
      </x:c>
      <x:c r="K23" s="24" t="n">
        <x:v>1</x:v>
      </x:c>
      <x:c r="L23" s="24" t="str">
        <x:v>是</x:v>
      </x:c>
      <x:c r="M23" s="24" t="str">
        <x:v>已根据用户确认机制整理，并补充V5建议数值</x:v>
      </x:c>
      <x:c r="N23" s="24" t="str">
        <x:v>离开平台边缘后的土狼跳时间增加0.05秒（基础0.10→0.15秒），不改变奔跑惯性。</x:v>
      </x:c>
      <x:c r="O23" s="24" t="str">
        <x:v>原+30%地面减速对260速/19800减速几乎无效，已替换为土狼时间+0.05秒。</x:v>
      </x:c>
      <x:c r="P23" s="24" t="str">
        <x:v>机制定稿/平衡建议待验</x:v>
      </x:c>
      <x:c r="Q23" s="24" t="str">
        <x:v>https://github.com/zhipijun1996/gunman-rush/blob/26e7f2a4459623f35613a857da8a75e89daa3e62/scripts/combat/weapon_definition.gd</x:v>
      </x:c>
    </x:row>
    <x:row r="24" ht="43" customHeight="1">
      <x:c r="A24" s="24" t="n">
        <x:v>19</x:v>
      </x:c>
      <x:c r="B24" s="24" t="str">
        <x:v>B23</x:v>
      </x:c>
      <x:c r="C24" s="24" t="str">
        <x:v>尾摆齿环</x:v>
      </x:c>
      <x:c r="D24" s="24" t="str">
        <x:v>蓝色</x:v>
      </x:c>
      <x:c r="E24" s="24" t="str">
        <x:v>第2批</x:v>
      </x:c>
      <x:c r="F24" s="24" t="str">
        <x:v>保留</x:v>
      </x:c>
      <x:c r="G24" s="24" t="n">
        <x:v>2</x:v>
      </x:c>
      <x:c r="H24" s="24" t="n">
        <x:v>2</x:v>
      </x:c>
      <x:c r="I24" s="24" t="n">
        <x:v>36</x:v>
      </x:c>
      <x:c r="J24" s="24" t="n">
        <x:v>31</x:v>
      </x:c>
      <x:c r="K24" s="24" t="n">
        <x:v>1</x:v>
      </x:c>
      <x:c r="L24" s="24" t="str">
        <x:v>是</x:v>
      </x:c>
      <x:c r="M24" s="24" t="str">
        <x:v>已根据用户确认机制整理，并补充V5建议数值</x:v>
      </x:c>
      <x:c r="N24" s="24" t="str">
        <x:v>反冲终点生成0.6秒小齿环，接触敌人造成0.40D；6秒内部冷却。</x:v>
      </x:c>
      <x:c r="O24" s="24" t="str">
        <x:v>反冲终点自动环不额外位移，条件苛刻，价格31更贴合触发率。</x:v>
      </x:c>
      <x:c r="P24" s="24" t="str">
        <x:v>机制定稿/平衡建议待验</x:v>
      </x:c>
      <x:c r="Q24" s="24" t="str">
        <x:v>https://github.com/zhipijun1996/gunman-rush/blob/26e7f2a4459623f35613a857da8a75e89daa3e62/scripts/combat/weapon_definition.gd</x:v>
      </x:c>
    </x:row>
    <x:row r="25" ht="43" customHeight="1">
      <x:c r="A25" s="24" t="n">
        <x:v>20</x:v>
      </x:c>
      <x:c r="B25" s="24" t="str">
        <x:v>B28</x:v>
      </x:c>
      <x:c r="C25" s="24" t="str">
        <x:v>逐风鞋簧</x:v>
      </x:c>
      <x:c r="D25" s="24" t="str">
        <x:v>蓝色</x:v>
      </x:c>
      <x:c r="E25" s="24" t="str">
        <x:v>第2批</x:v>
      </x:c>
      <x:c r="F25" s="24" t="str">
        <x:v>修改</x:v>
      </x:c>
      <x:c r="G25" s="24" t="n">
        <x:v>3</x:v>
      </x:c>
      <x:c r="H25" s="24" t="n">
        <x:v>2</x:v>
      </x:c>
      <x:c r="I25" s="24" t="n">
        <x:v>31</x:v>
      </x:c>
      <x:c r="J25" s="24" t="n">
        <x:v>26</x:v>
      </x:c>
      <x:c r="K25" s="24" t="n">
        <x:v>1</x:v>
      </x:c>
      <x:c r="L25" s="24" t="str">
        <x:v>是</x:v>
      </x:c>
      <x:c r="M25" s="24" t="str">
        <x:v>已根据用户确认机制整理，并补充V5建议数值</x:v>
      </x:c>
      <x:c r="N25" s="24" t="str">
        <x:v>地面普通跑动速度×1.05（260→273），不改变反冲或钩索位移。</x:v>
      </x:c>
      <x:c r="O25" s="24" t="str">
        <x:v>跑速+5%可能破坏部分精密关卡手感，改2槽仍需真实轨迹回归。</x:v>
      </x:c>
      <x:c r="P25" s="24" t="str">
        <x:v>机制定稿/平衡建议待验</x:v>
      </x:c>
      <x:c r="Q25" s="24" t="str">
        <x:v>https://github.com/zhipijun1996/gunman-rush/blob/26e7f2a4459623f35613a857da8a75e89daa3e62/scripts/combat/weapon_definition.gd</x:v>
      </x:c>
    </x:row>
    <x:row r="26" ht="43" customHeight="1">
      <x:c r="A26" s="24" t="n">
        <x:v>21</x:v>
      </x:c>
      <x:c r="B26" s="24" t="str">
        <x:v>P12</x:v>
      </x:c>
      <x:c r="C26" s="24" t="str">
        <x:v>刃影回纹</x:v>
      </x:c>
      <x:c r="D26" s="24" t="str">
        <x:v>紫色</x:v>
      </x:c>
      <x:c r="E26" s="24" t="str">
        <x:v>第3批</x:v>
      </x:c>
      <x:c r="F26" s="24" t="str">
        <x:v>保留</x:v>
      </x:c>
      <x:c r="G26" s="24" t="n">
        <x:v>3</x:v>
      </x:c>
      <x:c r="H26" s="24" t="n">
        <x:v>3</x:v>
      </x:c>
      <x:c r="I26" s="24" t="n">
        <x:v>70</x:v>
      </x:c>
      <x:c r="J26" s="24" t="n">
        <x:v>55</x:v>
      </x:c>
      <x:c r="K26" s="24" t="n">
        <x:v>1</x:v>
      </x:c>
      <x:c r="L26" s="24" t="str">
        <x:v>是</x:v>
      </x:c>
      <x:c r="M26" s="24" t="str">
        <x:v>已根据用户确认机制整理，并补充V5建议数值</x:v>
      </x:c>
      <x:c r="N26" s="24" t="str">
        <x:v>沿实际运动轨迹对接触目标造成0.25D</x:v>
      </x:c>
      <x:c r="O26" s="24" t="str">
        <x:v>移动轨迹擦敌才造成0.25D，面对荆棘与远程怪风险高，价格55。</x:v>
      </x:c>
      <x:c r="P26" s="24" t="str">
        <x:v>机制定稿/平衡建议待验</x:v>
      </x:c>
      <x:c r="Q26" s="24" t="str">
        <x:v>https://github.com/zhipijun1996/gunman-rush/blob/26e7f2a4459623f35613a857da8a75e89daa3e62/scripts/combat/weapon_definition.gd</x:v>
      </x:c>
    </x:row>
    <x:row r="27" ht="43" customHeight="1">
      <x:c r="A27" s="24" t="n">
        <x:v>22</x:v>
      </x:c>
      <x:c r="B27" s="24" t="str">
        <x:v>P37</x:v>
      </x:c>
      <x:c r="C27" s="24" t="str">
        <x:v>风脉回位轴</x:v>
      </x:c>
      <x:c r="D27" s="24" t="str">
        <x:v>紫色</x:v>
      </x:c>
      <x:c r="E27" s="24" t="str">
        <x:v>第3批</x:v>
      </x:c>
      <x:c r="F27" s="24" t="str">
        <x:v>删除</x:v>
      </x:c>
      <x:c r="G27" s="24" t="n">
        <x:v>3</x:v>
      </x:c>
      <x:c r="H27" s="24" t="str"/>
      <x:c r="I27" s="24" t="n">
        <x:v>64</x:v>
      </x:c>
      <x:c r="J27" s="24" t="str"/>
      <x:c r="K27" s="24" t="str"/>
      <x:c r="L27" s="24" t="str">
        <x:v>否</x:v>
      </x:c>
      <x:c r="M27" s="24" t="str">
        <x:v>用户明确删除，保留历史以便追溯</x:v>
      </x:c>
      <x:c r="N27" s="24" t="str">
        <x:v>已移出奖励、商店和联动有效池</x:v>
      </x:c>
      <x:c r="O27" s="24" t="str">
        <x:v>无需继续做价格平衡</x:v>
      </x:c>
      <x:c r="P27" s="24" t="str">
        <x:v>已删除</x:v>
      </x:c>
      <x:c r="Q27" s="24" t="str">
        <x:v>https://github.com/zhipijun1996/gunman-rush/blob/26e7f2a4459623f35613a857da8a75e89daa3e62/scripts/combat/weapon_definition.gd</x:v>
      </x:c>
    </x:row>
    <x:row r="28" ht="43" customHeight="1">
      <x:c r="A28" s="24" t="n">
        <x:v>23</x:v>
      </x:c>
      <x:c r="B28" s="24" t="str">
        <x:v>G01</x:v>
      </x:c>
      <x:c r="C28" s="24" t="str">
        <x:v>微核回响</x:v>
      </x:c>
      <x:c r="D28" s="24" t="str">
        <x:v>金色</x:v>
      </x:c>
      <x:c r="E28" s="24" t="str">
        <x:v>第3批</x:v>
      </x:c>
      <x:c r="F28" s="24" t="str">
        <x:v>保留</x:v>
      </x:c>
      <x:c r="G28" s="24" t="n">
        <x:v>1</x:v>
      </x:c>
      <x:c r="H28" s="24" t="n">
        <x:v>1</x:v>
      </x:c>
      <x:c r="I28" s="24" t="n">
        <x:v>124</x:v>
      </x:c>
      <x:c r="J28" s="24" t="n">
        <x:v>78</x:v>
      </x:c>
      <x:c r="K28" s="24" t="n">
        <x:v>1</x:v>
      </x:c>
      <x:c r="L28" s="24" t="str">
        <x:v>是</x:v>
      </x:c>
      <x:c r="M28" s="24" t="str">
        <x:v>已根据用户确认机制整理，并补充V5建议数值</x:v>
      </x:c>
      <x:c r="N28" s="24" t="str">
        <x:v>空中主攻施加回响标记，下次不同攻击包命中引爆0.65D；同目标7秒内置冷却。</x:v>
      </x:c>
      <x:c r="O28" s="24" t="str">
        <x:v>1槽金装命中标记后需再次命中引爆0.65D，单Boss增伤受6秒冷却制约。</x:v>
      </x:c>
      <x:c r="P28" s="24" t="str">
        <x:v>机制定稿/平衡建议待验</x:v>
      </x:c>
      <x:c r="Q28" s="24" t="str">
        <x:v>https://github.com/zhipijun1996/gunman-rush/blob/26e7f2a4459623f35613a857da8a75e89daa3e62/scripts/combat/weapon_definition.gd</x:v>
      </x:c>
    </x:row>
    <x:row r="29" ht="43" customHeight="1">
      <x:c r="A29" s="24" t="n">
        <x:v>24</x:v>
      </x:c>
      <x:c r="B29" s="24" t="str">
        <x:v>B19</x:v>
      </x:c>
      <x:c r="C29" s="24" t="str">
        <x:v>梦读铭片</x:v>
      </x:c>
      <x:c r="D29" s="24" t="str">
        <x:v>蓝色</x:v>
      </x:c>
      <x:c r="E29" s="24" t="str">
        <x:v>第3批</x:v>
      </x:c>
      <x:c r="F29" s="24" t="str">
        <x:v>保留</x:v>
      </x:c>
      <x:c r="G29" s="24" t="n">
        <x:v>2</x:v>
      </x:c>
      <x:c r="H29" s="24" t="n">
        <x:v>2</x:v>
      </x:c>
      <x:c r="I29" s="24" t="n">
        <x:v>32</x:v>
      </x:c>
      <x:c r="J29" s="24" t="n">
        <x:v>25</x:v>
      </x:c>
      <x:c r="K29" s="24" t="n">
        <x:v>1</x:v>
      </x:c>
      <x:c r="L29" s="24" t="str">
        <x:v>是</x:v>
      </x:c>
      <x:c r="M29" s="24" t="str">
        <x:v>已根据用户确认机制整理，并补充V5建议数值</x:v>
      </x:c>
      <x:c r="N29" s="24" t="str">
        <x:v>钩索有效命中敌人额外获得2点战斗能量，受单攻击包12点上限约束。</x:v>
      </x:c>
      <x:c r="O29" s="24" t="str">
        <x:v>钩索命中额外+2共鸣通常不多，且触发受能力锁限制，低价。</x:v>
      </x:c>
      <x:c r="P29" s="24" t="str">
        <x:v>机制定稿/平衡建议待验</x:v>
      </x:c>
      <x:c r="Q29" s="24" t="str">
        <x:v>https://github.com/zhipijun1996/gunman-rush/blob/26e7f2a4459623f35613a857da8a75e89daa3e62/scripts/resources/state/combat_energy_state.gd</x:v>
      </x:c>
    </x:row>
    <x:row r="30" ht="43" customHeight="1">
      <x:c r="A30" s="24" t="n">
        <x:v>25</x:v>
      </x:c>
      <x:c r="B30" s="24" t="str">
        <x:v>B21</x:v>
      </x:c>
      <x:c r="C30" s="24" t="str">
        <x:v>长索绕轮</x:v>
      </x:c>
      <x:c r="D30" s="24" t="str">
        <x:v>蓝色</x:v>
      </x:c>
      <x:c r="E30" s="24" t="str">
        <x:v>第3批</x:v>
      </x:c>
      <x:c r="F30" s="24" t="str">
        <x:v>修改</x:v>
      </x:c>
      <x:c r="G30" s="24" t="n">
        <x:v>4</x:v>
      </x:c>
      <x:c r="H30" s="24" t="n">
        <x:v>4</x:v>
      </x:c>
      <x:c r="I30" s="24" t="n">
        <x:v>33</x:v>
      </x:c>
      <x:c r="J30" s="24" t="n">
        <x:v>27</x:v>
      </x:c>
      <x:c r="K30" s="24" t="n">
        <x:v>3</x:v>
      </x:c>
      <x:c r="L30" s="24" t="str">
        <x:v>是</x:v>
      </x:c>
      <x:c r="M30" s="24" t="str">
        <x:v>已根据用户确认机制整理，并补充V5建议数值</x:v>
      </x:c>
      <x:c r="N30" s="24" t="str">
        <x:v>Lv1/2/3 钩索有效距离×1.15/1.25/1.35；地图主线可达性仍以无该道具验证。</x:v>
      </x:c>
      <x:c r="O30" s="24" t="str">
        <x:v>4槽仅加钩索距离，Lv3才显著；价格下降，主线不得强制依赖。</x:v>
      </x:c>
      <x:c r="P30" s="24" t="str">
        <x:v>机制定稿/平衡建议待验</x:v>
      </x:c>
      <x:c r="Q30" s="24" t="str">
        <x:v>https://github.com/zhipijun1996/gunman-rush/blob/26e7f2a4459623f35613a857da8a75e89daa3e62/resources/player/traversal.tres</x:v>
      </x:c>
    </x:row>
    <x:row r="31" ht="43" customHeight="1">
      <x:c r="A31" s="24" t="n">
        <x:v>26</x:v>
      </x:c>
      <x:c r="B31" s="24" t="str">
        <x:v>P13</x:v>
      </x:c>
      <x:c r="C31" s="24" t="str">
        <x:v>追索徽记</x:v>
      </x:c>
      <x:c r="D31" s="24" t="str">
        <x:v>紫色</x:v>
      </x:c>
      <x:c r="E31" s="24" t="str">
        <x:v>第3批</x:v>
      </x:c>
      <x:c r="F31" s="24" t="str">
        <x:v>保留</x:v>
      </x:c>
      <x:c r="G31" s="24" t="n">
        <x:v>2</x:v>
      </x:c>
      <x:c r="H31" s="24" t="n">
        <x:v>2</x:v>
      </x:c>
      <x:c r="I31" s="24" t="n">
        <x:v>65</x:v>
      </x:c>
      <x:c r="J31" s="24" t="n">
        <x:v>46</x:v>
      </x:c>
      <x:c r="K31" s="24" t="n">
        <x:v>1</x:v>
      </x:c>
      <x:c r="L31" s="24" t="str">
        <x:v>是</x:v>
      </x:c>
      <x:c r="M31" s="24" t="str">
        <x:v>已根据用户确认机制整理，并补充V5建议数值</x:v>
      </x:c>
      <x:c r="N31" s="24" t="str">
        <x:v>施加4秒追索标记，对其主攻直伤×1.20</x:v>
      </x:c>
      <x:c r="O31" s="24" t="str">
        <x:v>钩索接触目标才有4秒+20%主攻加成，适合标记Boss但仍尊重护甲。</x:v>
      </x:c>
      <x:c r="P31" s="24" t="str">
        <x:v>机制定稿/平衡建议待验</x:v>
      </x:c>
      <x:c r="Q31" s="24" t="str">
        <x:v>https://github.com/zhipijun1996/gunman-rush/blob/26e7f2a4459623f35613a857da8a75e89daa3e62/resources/player/traversal.tres</x:v>
      </x:c>
    </x:row>
    <x:row r="32" ht="43" customHeight="1">
      <x:c r="A32" s="24" t="n">
        <x:v>27</x:v>
      </x:c>
      <x:c r="B32" s="24" t="str">
        <x:v>P29</x:v>
      </x:c>
      <x:c r="C32" s="24" t="str">
        <x:v>雷丝引线</x:v>
      </x:c>
      <x:c r="D32" s="24" t="str">
        <x:v>紫色</x:v>
      </x:c>
      <x:c r="E32" s="24" t="str">
        <x:v>第3批</x:v>
      </x:c>
      <x:c r="F32" s="24" t="str">
        <x:v>修改</x:v>
      </x:c>
      <x:c r="G32" s="24" t="n">
        <x:v>2</x:v>
      </x:c>
      <x:c r="H32" s="24" t="n">
        <x:v>2</x:v>
      </x:c>
      <x:c r="I32" s="24" t="n">
        <x:v>67</x:v>
      </x:c>
      <x:c r="J32" s="24" t="n">
        <x:v>54</x:v>
      </x:c>
      <x:c r="K32" s="24" t="n">
        <x:v>3</x:v>
      </x:c>
      <x:c r="L32" s="24" t="str">
        <x:v>是</x:v>
      </x:c>
      <x:c r="M32" s="24" t="str">
        <x:v>已根据用户确认机制整理，并补充V5建议数值</x:v>
      </x:c>
      <x:c r="N32" s="24" t="str">
        <x:v>所有玩家主动攻击合法命中触发连锁电击；Lv1额外1目标×0.30D，Lv2额外2目标×0.30D，Lv3额外2目标×0.45D，半径120，CD1.5秒。</x:v>
      </x:c>
      <x:c r="O32" s="24" t="str">
        <x:v>通用电链最多两目标、1.5秒冷却，Lv3额外0.45D；54金+2槽比较强。</x:v>
      </x:c>
      <x:c r="P32" s="24" t="str">
        <x:v>机制定稿/平衡建议待验</x:v>
      </x:c>
      <x:c r="Q32" s="24" t="str">
        <x:v>https://github.com/zhipijun1996/gunman-rush/blob/26e7f2a4459623f35613a857da8a75e89daa3e62/resources/player/traversal.tres</x:v>
      </x:c>
    </x:row>
    <x:row r="33" ht="43" customHeight="1">
      <x:c r="A33" s="24" t="n">
        <x:v>28</x:v>
      </x:c>
      <x:c r="B33" s="24" t="str">
        <x:v>P38</x:v>
      </x:c>
      <x:c r="C33" s="24" t="str">
        <x:v>穿甲修针</x:v>
      </x:c>
      <x:c r="D33" s="24" t="str">
        <x:v>紫色</x:v>
      </x:c>
      <x:c r="E33" s="24" t="str">
        <x:v>第3批</x:v>
      </x:c>
      <x:c r="F33" s="24" t="str">
        <x:v>删除</x:v>
      </x:c>
      <x:c r="G33" s="24" t="n">
        <x:v>2</x:v>
      </x:c>
      <x:c r="H33" s="24" t="str"/>
      <x:c r="I33" s="24" t="n">
        <x:v>73</x:v>
      </x:c>
      <x:c r="J33" s="24" t="str"/>
      <x:c r="K33" s="24" t="str"/>
      <x:c r="L33" s="24" t="str">
        <x:v>否</x:v>
      </x:c>
      <x:c r="M33" s="24" t="str">
        <x:v>用户明确删除，保留历史以便追溯</x:v>
      </x:c>
      <x:c r="N33" s="24" t="str">
        <x:v>已移出奖励、商店和联动有效池</x:v>
      </x:c>
      <x:c r="O33" s="24" t="str">
        <x:v>无需继续做价格平衡</x:v>
      </x:c>
      <x:c r="P33" s="24" t="str">
        <x:v>已删除</x:v>
      </x:c>
      <x:c r="Q33" s="24" t="str">
        <x:v>https://github.com/zhipijun1996/gunman-rush/blob/26e7f2a4459623f35613a857da8a75e89daa3e62/resources/player/traversal.tres</x:v>
      </x:c>
    </x:row>
    <x:row r="34" ht="43" customHeight="1">
      <x:c r="A34" s="24" t="n">
        <x:v>29</x:v>
      </x:c>
      <x:c r="B34" s="24" t="str">
        <x:v>B04</x:v>
      </x:c>
      <x:c r="C34" s="24" t="str">
        <x:v>省力扳簧</x:v>
      </x:c>
      <x:c r="D34" s="24" t="str">
        <x:v>蓝色</x:v>
      </x:c>
      <x:c r="E34" s="24" t="str">
        <x:v>第3批</x:v>
      </x:c>
      <x:c r="F34" s="24" t="str">
        <x:v>修改</x:v>
      </x:c>
      <x:c r="G34" s="24" t="n">
        <x:v>1</x:v>
      </x:c>
      <x:c r="H34" s="24" t="n">
        <x:v>1</x:v>
      </x:c>
      <x:c r="I34" s="24" t="n">
        <x:v>30</x:v>
      </x:c>
      <x:c r="J34" s="24" t="n">
        <x:v>30</x:v>
      </x:c>
      <x:c r="K34" s="24" t="n">
        <x:v>3</x:v>
      </x:c>
      <x:c r="L34" s="24" t="str">
        <x:v>是</x:v>
      </x:c>
      <x:c r="M34" s="24" t="str">
        <x:v>已根据用户确认机制整理，并补充V5建议数值</x:v>
      </x:c>
      <x:c r="N34" s="24" t="str">
        <x:v>Lv1/2/3 空中枪械与钩索瞄准的时间能量消耗降低18%/28%/38%；开枪不扣时间能量。</x:v>
      </x:c>
      <x:c r="O34" s="24" t="str">
        <x:v>1槽三级减耗38%非常强，但不延长2秒慢时，靠重复获取限制上限。</x:v>
      </x:c>
      <x:c r="P34" s="24" t="str">
        <x:v>机制定稿/平衡建议待验</x:v>
      </x:c>
      <x:c r="Q34" s="24" t="str">
        <x:v>https://github.com/zhipijun1996/gunman-rush/blob/26e7f2a4459623f35613a857da8a75e89daa3e62/resources/player/demo_ui_01/time_energy_v2.tres</x:v>
      </x:c>
    </x:row>
    <x:row r="35" ht="43" customHeight="1">
      <x:c r="A35" s="24" t="n">
        <x:v>30</x:v>
      </x:c>
      <x:c r="B35" s="24" t="str">
        <x:v>P04</x:v>
      </x:c>
      <x:c r="C35" s="24" t="str">
        <x:v>悬空回响</x:v>
      </x:c>
      <x:c r="D35" s="24" t="str">
        <x:v>紫色</x:v>
      </x:c>
      <x:c r="E35" s="24" t="str">
        <x:v>第3批</x:v>
      </x:c>
      <x:c r="F35" s="24" t="str">
        <x:v>保留</x:v>
      </x:c>
      <x:c r="G35" s="24" t="n">
        <x:v>2</x:v>
      </x:c>
      <x:c r="H35" s="24" t="n">
        <x:v>2</x:v>
      </x:c>
      <x:c r="I35" s="24" t="n">
        <x:v>60</x:v>
      </x:c>
      <x:c r="J35" s="24" t="n">
        <x:v>45</x:v>
      </x:c>
      <x:c r="K35" s="24" t="n">
        <x:v>1</x:v>
      </x:c>
      <x:c r="L35" s="24" t="str">
        <x:v>是</x:v>
      </x:c>
      <x:c r="M35" s="24" t="str">
        <x:v>已根据用户确认机制整理，并补充V5建议数值</x:v>
      </x:c>
      <x:c r="N35" s="24" t="str">
        <x:v>空中主攻命中后1.5秒内下一次主攻直伤×1.18，单次触发和消费。</x:v>
      </x:c>
      <x:c r="O35" s="24" t="str">
        <x:v>空中先命中再下一击+18%，基础1发空中限制实际续射困难，定价45。</x:v>
      </x:c>
      <x:c r="P35" s="24" t="str">
        <x:v>机制定稿/平衡建议待验</x:v>
      </x:c>
      <x:c r="Q35" s="24" t="str">
        <x:v>https://github.com/zhipijun1996/gunman-rush/blob/26e7f2a4459623f35613a857da8a75e89daa3e62/scripts/combat/weapon_definition.gd</x:v>
      </x:c>
    </x:row>
    <x:row r="36" ht="43" customHeight="1">
      <x:c r="A36" s="24" t="n">
        <x:v>31</x:v>
      </x:c>
      <x:c r="B36" s="24" t="str">
        <x:v>B06</x:v>
      </x:c>
      <x:c r="C36" s="24" t="str">
        <x:v>回声小匣</x:v>
      </x:c>
      <x:c r="D36" s="24" t="str">
        <x:v>蓝色</x:v>
      </x:c>
      <x:c r="E36" s="24" t="str">
        <x:v>第4批</x:v>
      </x:c>
      <x:c r="F36" s="24" t="str">
        <x:v>修改</x:v>
      </x:c>
      <x:c r="G36" s="24" t="n">
        <x:v>2</x:v>
      </x:c>
      <x:c r="H36" s="24" t="n">
        <x:v>2</x:v>
      </x:c>
      <x:c r="I36" s="24" t="n">
        <x:v>34</x:v>
      </x:c>
      <x:c r="J36" s="24" t="n">
        <x:v>32</x:v>
      </x:c>
      <x:c r="K36" s="24" t="n">
        <x:v>3</x:v>
      </x:c>
      <x:c r="L36" s="24" t="str">
        <x:v>是</x:v>
      </x:c>
      <x:c r="M36" s="24" t="str">
        <x:v>已根据用户确认机制整理，并补充V5建议数值</x:v>
      </x:c>
      <x:c r="N36" s="24" t="str">
        <x:v>空中主攻有效命中恢复10/15/20点时间能量；单次腾空最多回20/30/40点，不延长慢时2秒上限。</x:v>
      </x:c>
      <x:c r="O36" s="24" t="str">
        <x:v>空中命中补10/15/20时间能量很强，2秒上限与每腾空限额阻止无限停时。</x:v>
      </x:c>
      <x:c r="P36" s="24" t="str">
        <x:v>机制定稿/平衡建议待验</x:v>
      </x:c>
      <x:c r="Q36" s="24" t="str">
        <x:v>https://github.com/zhipijun1996/gunman-rush/blob/26e7f2a4459623f35613a857da8a75e89daa3e62/resources/player/demo_ui_01/time_energy_v2.tres</x:v>
      </x:c>
    </x:row>
    <x:row r="37" ht="43" customHeight="1">
      <x:c r="A37" s="24" t="n">
        <x:v>32</x:v>
      </x:c>
      <x:c r="B37" s="24" t="str">
        <x:v>B09</x:v>
      </x:c>
      <x:c r="C37" s="24" t="str">
        <x:v>接地回路</x:v>
      </x:c>
      <x:c r="D37" s="24" t="str">
        <x:v>蓝色</x:v>
      </x:c>
      <x:c r="E37" s="24" t="str">
        <x:v>第4批</x:v>
      </x:c>
      <x:c r="F37" s="24" t="str">
        <x:v>保留</x:v>
      </x:c>
      <x:c r="G37" s="24" t="n">
        <x:v>2</x:v>
      </x:c>
      <x:c r="H37" s="24" t="n">
        <x:v>2</x:v>
      </x:c>
      <x:c r="I37" s="24" t="n">
        <x:v>34</x:v>
      </x:c>
      <x:c r="J37" s="24" t="n">
        <x:v>27</x:v>
      </x:c>
      <x:c r="K37" s="24" t="n">
        <x:v>1</x:v>
      </x:c>
      <x:c r="L37" s="24" t="str">
        <x:v>是</x:v>
      </x:c>
      <x:c r="M37" s="24" t="str">
        <x:v>已根据用户确认机制整理，并补充V5建议数值</x:v>
      </x:c>
      <x:c r="N37" s="24" t="str">
        <x:v>落地时间能量自然恢复速率×1.25（30→37.5点/真实秒）；空中仍不能自然恢复。</x:v>
      </x:c>
      <x:c r="O37" s="24" t="str">
        <x:v>地面回能30→37.5，相当于缩短整备，不影响空中持续时间上限。</x:v>
      </x:c>
      <x:c r="P37" s="24" t="str">
        <x:v>机制定稿/平衡建议待验</x:v>
      </x:c>
      <x:c r="Q37" s="24" t="str">
        <x:v>https://github.com/zhipijun1996/gunman-rush/blob/26e7f2a4459623f35613a857da8a75e89daa3e62/resources/player/demo_ui_01/time_energy_v2.tres</x:v>
      </x:c>
    </x:row>
    <x:row r="38" ht="43" customHeight="1">
      <x:c r="A38" s="24" t="n">
        <x:v>33</x:v>
      </x:c>
      <x:c r="B38" s="24" t="str">
        <x:v>B10</x:v>
      </x:c>
      <x:c r="C38" s="24" t="str">
        <x:v>散热风叶</x:v>
      </x:c>
      <x:c r="D38" s="24" t="str">
        <x:v>蓝色</x:v>
      </x:c>
      <x:c r="E38" s="24" t="str">
        <x:v>第4批</x:v>
      </x:c>
      <x:c r="F38" s="24" t="str">
        <x:v>删除</x:v>
      </x:c>
      <x:c r="G38" s="24" t="n">
        <x:v>1</x:v>
      </x:c>
      <x:c r="H38" s="24" t="str"/>
      <x:c r="I38" s="24" t="n">
        <x:v>27</x:v>
      </x:c>
      <x:c r="J38" s="24" t="str"/>
      <x:c r="K38" s="24" t="str"/>
      <x:c r="L38" s="24" t="str">
        <x:v>否</x:v>
      </x:c>
      <x:c r="M38" s="24" t="str">
        <x:v>用户明确删除，保留历史以便追溯</x:v>
      </x:c>
      <x:c r="N38" s="24" t="str">
        <x:v>已移出奖励、商店和联动有效池</x:v>
      </x:c>
      <x:c r="O38" s="24" t="str">
        <x:v>无需继续做价格平衡</x:v>
      </x:c>
      <x:c r="P38" s="24" t="str">
        <x:v>已删除</x:v>
      </x:c>
      <x:c r="Q38" s="24" t="str">
        <x:v>https://github.com/zhipijun1996/gunman-rush/blob/26e7f2a4459623f35613a857da8a75e89daa3e62/resources/player/demo_ui_01/time_energy_v2.tres</x:v>
      </x:c>
    </x:row>
    <x:row r="39" ht="43" customHeight="1">
      <x:c r="A39" s="24" t="n">
        <x:v>34</x:v>
      </x:c>
      <x:c r="B39" s="24" t="str">
        <x:v>P32</x:v>
      </x:c>
      <x:c r="C39" s="24" t="str">
        <x:v>暮色回响匣</x:v>
      </x:c>
      <x:c r="D39" s="24" t="str">
        <x:v>紫色</x:v>
      </x:c>
      <x:c r="E39" s="24" t="str">
        <x:v>第4批</x:v>
      </x:c>
      <x:c r="F39" s="24" t="str">
        <x:v>删除</x:v>
      </x:c>
      <x:c r="G39" s="24" t="n">
        <x:v>3</x:v>
      </x:c>
      <x:c r="H39" s="24" t="str"/>
      <x:c r="I39" s="24" t="n">
        <x:v>79</x:v>
      </x:c>
      <x:c r="J39" s="24" t="str"/>
      <x:c r="K39" s="24" t="str"/>
      <x:c r="L39" s="24" t="str">
        <x:v>否</x:v>
      </x:c>
      <x:c r="M39" s="24" t="str">
        <x:v>用户明确删除，保留历史以便追溯</x:v>
      </x:c>
      <x:c r="N39" s="24" t="str">
        <x:v>已移出奖励、商店和联动有效池</x:v>
      </x:c>
      <x:c r="O39" s="24" t="str">
        <x:v>无需继续做价格平衡</x:v>
      </x:c>
      <x:c r="P39" s="24" t="str">
        <x:v>已删除</x:v>
      </x:c>
      <x:c r="Q39" s="24" t="str">
        <x:v>https://github.com/zhipijun1996/gunman-rush/blob/26e7f2a4459623f35613a857da8a75e89daa3e62/resources/player/demo_ui_01/time_energy_v2.tres</x:v>
      </x:c>
    </x:row>
    <x:row r="40" ht="43" customHeight="1">
      <x:c r="A40" s="24" t="n">
        <x:v>35</x:v>
      </x:c>
      <x:c r="B40" s="24" t="str">
        <x:v>B18</x:v>
      </x:c>
      <x:c r="C40" s="24" t="str">
        <x:v>捕魂音叉</x:v>
      </x:c>
      <x:c r="D40" s="24" t="str">
        <x:v>蓝色</x:v>
      </x:c>
      <x:c r="E40" s="24" t="str">
        <x:v>第4批</x:v>
      </x:c>
      <x:c r="F40" s="24" t="str">
        <x:v>修改</x:v>
      </x:c>
      <x:c r="G40" s="24" t="n">
        <x:v>2</x:v>
      </x:c>
      <x:c r="H40" s="24" t="n">
        <x:v>2</x:v>
      </x:c>
      <x:c r="I40" s="24" t="n">
        <x:v>30</x:v>
      </x:c>
      <x:c r="J40" s="24" t="n">
        <x:v>30</x:v>
      </x:c>
      <x:c r="K40" s="24" t="n">
        <x:v>3</x:v>
      </x:c>
      <x:c r="L40" s="24" t="str">
        <x:v>是</x:v>
      </x:c>
      <x:c r="M40" s="24" t="str">
        <x:v>已根据用户确认机制整理，并补充V5建议数值</x:v>
      </x:c>
      <x:c r="N40" s="24" t="str">
        <x:v>Lv1/2/3 主攻击包单目标基础共鸣额外+2/+3/+4；共用每攻击包12点收益上限。</x:v>
      </x:c>
      <x:c r="O40" s="24" t="str">
        <x:v>7基础+2/+3/+4到9/10/11，受12攻击包上限约束；三级价总90金。</x:v>
      </x:c>
      <x:c r="P40" s="24" t="str">
        <x:v>机制定稿/平衡建议待验</x:v>
      </x:c>
      <x:c r="Q40" s="24" t="str">
        <x:v>https://github.com/zhipijun1996/gunman-rush/blob/26e7f2a4459623f35613a857da8a75e89daa3e62/scripts/resources/state/combat_energy_state.gd</x:v>
      </x:c>
    </x:row>
    <x:row r="41" ht="43" customHeight="1">
      <x:c r="A41" s="24" t="n">
        <x:v>36</x:v>
      </x:c>
      <x:c r="B41" s="24" t="str">
        <x:v>P01</x:v>
      </x:c>
      <x:c r="C41" s="24" t="str">
        <x:v>饕魂涡轮</x:v>
      </x:c>
      <x:c r="D41" s="24" t="str">
        <x:v>紫色</x:v>
      </x:c>
      <x:c r="E41" s="24" t="str">
        <x:v>第4批</x:v>
      </x:c>
      <x:c r="F41" s="24" t="str">
        <x:v>删除</x:v>
      </x:c>
      <x:c r="G41" s="24" t="n">
        <x:v>4</x:v>
      </x:c>
      <x:c r="H41" s="24" t="str"/>
      <x:c r="I41" s="24" t="n">
        <x:v>73</x:v>
      </x:c>
      <x:c r="J41" s="24" t="str"/>
      <x:c r="K41" s="24" t="str"/>
      <x:c r="L41" s="24" t="str">
        <x:v>否</x:v>
      </x:c>
      <x:c r="M41" s="24" t="str">
        <x:v>用户明确删除，保留历史以便追溯</x:v>
      </x:c>
      <x:c r="N41" s="24" t="str">
        <x:v>已移出奖励、商店和联动有效池</x:v>
      </x:c>
      <x:c r="O41" s="24" t="str">
        <x:v>无需继续做价格平衡</x:v>
      </x:c>
      <x:c r="P41" s="24" t="str">
        <x:v>已删除</x:v>
      </x:c>
      <x:c r="Q41" s="24" t="str">
        <x:v>https://github.com/zhipijun1996/gunman-rush/blob/26e7f2a4459623f35613a857da8a75e89daa3e62/resources/player/demo_ui_01/time_energy_v2.tres</x:v>
      </x:c>
    </x:row>
    <x:row r="42" ht="43" customHeight="1">
      <x:c r="A42" s="24" t="n">
        <x:v>37</x:v>
      </x:c>
      <x:c r="B42" s="24" t="str">
        <x:v>B26</x:v>
      </x:c>
      <x:c r="C42" s="24" t="str">
        <x:v>巨腹储鸣罐</x:v>
      </x:c>
      <x:c r="D42" s="24" t="str">
        <x:v>蓝色</x:v>
      </x:c>
      <x:c r="E42" s="24" t="str">
        <x:v>第4批</x:v>
      </x:c>
      <x:c r="F42" s="24" t="str">
        <x:v>修改</x:v>
      </x:c>
      <x:c r="G42" s="24" t="n">
        <x:v>5</x:v>
      </x:c>
      <x:c r="H42" s="24" t="n">
        <x:v>5</x:v>
      </x:c>
      <x:c r="I42" s="24" t="n">
        <x:v>38</x:v>
      </x:c>
      <x:c r="J42" s="24" t="n">
        <x:v>33</x:v>
      </x:c>
      <x:c r="K42" s="24" t="n">
        <x:v>3</x:v>
      </x:c>
      <x:c r="L42" s="24" t="str">
        <x:v>是</x:v>
      </x:c>
      <x:c r="M42" s="24" t="str">
        <x:v>已根据用户确认机制整理，并补充V5建议数值</x:v>
      </x:c>
      <x:c r="N42" s="24" t="str">
        <x:v>Lv1/2/3 战斗共鸣上限+40/+60/+80；增加上限时不免费补能。</x:v>
      </x:c>
      <x:c r="O42" s="24" t="str">
        <x:v>5槽换大容量140~180，不直接产能，强度依赖高频Lv3；价格33更合理。</x:v>
      </x:c>
      <x:c r="P42" s="24" t="str">
        <x:v>机制定稿/平衡建议待验</x:v>
      </x:c>
      <x:c r="Q42" s="24" t="str">
        <x:v>https://github.com/zhipijun1996/gunman-rush/blob/26e7f2a4459623f35613a857da8a75e89daa3e62/scripts/resources/state/combat_energy_state.gd</x:v>
      </x:c>
    </x:row>
    <x:row r="43" ht="43" customHeight="1">
      <x:c r="A43" s="24" t="n">
        <x:v>38</x:v>
      </x:c>
      <x:c r="B43" s="24" t="str">
        <x:v>P02</x:v>
      </x:c>
      <x:c r="C43" s="24" t="str">
        <x:v>共鸣整流器</x:v>
      </x:c>
      <x:c r="D43" s="24" t="str">
        <x:v>紫色</x:v>
      </x:c>
      <x:c r="E43" s="24" t="str">
        <x:v>第4批</x:v>
      </x:c>
      <x:c r="F43" s="24" t="str">
        <x:v>保留</x:v>
      </x:c>
      <x:c r="G43" s="24" t="n">
        <x:v>2</x:v>
      </x:c>
      <x:c r="H43" s="24" t="n">
        <x:v>2</x:v>
      </x:c>
      <x:c r="I43" s="24" t="n">
        <x:v>74</x:v>
      </x:c>
      <x:c r="J43" s="24" t="n">
        <x:v>48</x:v>
      </x:c>
      <x:c r="K43" s="24" t="n">
        <x:v>1</x:v>
      </x:c>
      <x:c r="L43" s="24" t="str">
        <x:v>是</x:v>
      </x:c>
      <x:c r="M43" s="24" t="str">
        <x:v>已根据用户确认机制整理，并补充V5建议数值</x:v>
      </x:c>
      <x:c r="N43" s="24" t="str">
        <x:v>当前技能战斗能量消耗×0.90（通常60→54）；不作用于时间能量。</x:v>
      </x:c>
      <x:c r="O43" s="24" t="str">
        <x:v>共鸣成本60→54，10%减耗通常需多轮技能才回本，48金优于原74。</x:v>
      </x:c>
      <x:c r="P43" s="24" t="str">
        <x:v>机制定稿/平衡建议待验</x:v>
      </x:c>
      <x:c r="Q43" s="24" t="str">
        <x:v>https://github.com/zhipijun1996/gunman-rush/blob/26e7f2a4459623f35613a857da8a75e89daa3e62/scripts/resources/state/combat_energy_state.gd</x:v>
      </x:c>
    </x:row>
    <x:row r="44" ht="43" customHeight="1">
      <x:c r="A44" s="24" t="n">
        <x:v>39</x:v>
      </x:c>
      <x:c r="B44" s="24" t="str">
        <x:v>B33</x:v>
      </x:c>
      <x:c r="C44" s="24" t="str">
        <x:v>小焰触片</x:v>
      </x:c>
      <x:c r="D44" s="24" t="str">
        <x:v>蓝色</x:v>
      </x:c>
      <x:c r="E44" s="24" t="str">
        <x:v>第4批</x:v>
      </x:c>
      <x:c r="F44" s="24" t="str">
        <x:v>修改</x:v>
      </x:c>
      <x:c r="G44" s="24" t="n">
        <x:v>1</x:v>
      </x:c>
      <x:c r="H44" s="24" t="n">
        <x:v>1</x:v>
      </x:c>
      <x:c r="I44" s="24" t="n">
        <x:v>32</x:v>
      </x:c>
      <x:c r="J44" s="24" t="n">
        <x:v>28</x:v>
      </x:c>
      <x:c r="K44" s="24" t="n">
        <x:v>3</x:v>
      </x:c>
      <x:c r="L44" s="24" t="str">
        <x:v>是</x:v>
      </x:c>
      <x:c r="M44" s="24" t="str">
        <x:v>已根据用户确认机制整理，并补充V5建议数值</x:v>
      </x:c>
      <x:c r="N44" s="24" t="str">
        <x:v>非炸弹武器可抽取；主动消耗30共鸣，80半径爆炸伤害Lv1/2/3为1.10/1.50/1.90D，CD10秒。</x:v>
      </x:c>
      <x:c r="O44" s="24" t="str">
        <x:v>1槽短CD爆炸主动很划算，但消耗30共鸣，非炸弹武器才出；三级达1.9D。</x:v>
      </x:c>
      <x:c r="P44" s="24" t="str">
        <x:v>机制定稿/平衡建议待验</x:v>
      </x:c>
      <x:c r="Q44" s="24" t="str">
        <x:v>https://github.com/zhipijun1996/gunman-rush/blob/26e7f2a4459623f35613a857da8a75e89daa3e62/scripts/resources/state/combat_energy_state.gd</x:v>
      </x:c>
    </x:row>
    <x:row r="45" ht="43" customHeight="1">
      <x:c r="A45" s="24" t="n">
        <x:v>40</x:v>
      </x:c>
      <x:c r="B45" s="24" t="str">
        <x:v>P17</x:v>
      </x:c>
      <x:c r="C45" s="24" t="str">
        <x:v>游鸣聚能体</x:v>
      </x:c>
      <x:c r="D45" s="24" t="str">
        <x:v>紫色</x:v>
      </x:c>
      <x:c r="E45" s="24" t="str">
        <x:v>第4批</x:v>
      </x:c>
      <x:c r="F45" s="24" t="str">
        <x:v>修改</x:v>
      </x:c>
      <x:c r="G45" s="24" t="n">
        <x:v>2</x:v>
      </x:c>
      <x:c r="H45" s="24" t="n">
        <x:v>2</x:v>
      </x:c>
      <x:c r="I45" s="24" t="n">
        <x:v>58</x:v>
      </x:c>
      <x:c r="J45" s="24" t="n">
        <x:v>42</x:v>
      </x:c>
      <x:c r="K45" s="24" t="n">
        <x:v>3</x:v>
      </x:c>
      <x:c r="L45" s="24" t="str">
        <x:v>是</x:v>
      </x:c>
      <x:c r="M45" s="24" t="str">
        <x:v>已根据用户确认机制整理，并补充V5建议数值</x:v>
      </x:c>
      <x:c r="N45" s="24" t="str">
        <x:v>有真实蓄力前摇的Lv3主动技能，蓄力期间可按地速40%/55%/70%移动；不解除奇点等锁定。</x:v>
      </x:c>
      <x:c r="O45" s="24" t="str">
        <x:v>Lv3蓄力期间40%/55%/70%地速移动，对短蓄力0.28秒收益有限；定价42。</x:v>
      </x:c>
      <x:c r="P45" s="24" t="str">
        <x:v>机制定稿/平衡建议待验</x:v>
      </x:c>
      <x:c r="Q45" s="24" t="str">
        <x:v>https://github.com/zhipijun1996/gunman-rush/blob/26e7f2a4459623f35613a857da8a75e89daa3e62/scripts/combat/weapon_definition.gd</x:v>
      </x:c>
    </x:row>
    <x:row r="46" ht="43" customHeight="1">
      <x:c r="A46" s="24" t="n">
        <x:v>41</x:v>
      </x:c>
      <x:c r="B46" s="24" t="str">
        <x:v>B11</x:v>
      </x:c>
      <x:c r="C46" s="24" t="str">
        <x:v>心室木匣</x:v>
      </x:c>
      <x:c r="D46" s="24" t="str">
        <x:v>蓝色</x:v>
      </x:c>
      <x:c r="E46" s="24" t="str">
        <x:v>第5批</x:v>
      </x:c>
      <x:c r="F46" s="24" t="str">
        <x:v>修改</x:v>
      </x:c>
      <x:c r="G46" s="24" t="n">
        <x:v>2</x:v>
      </x:c>
      <x:c r="H46" s="24" t="n">
        <x:v>2</x:v>
      </x:c>
      <x:c r="I46" s="24" t="n">
        <x:v>28</x:v>
      </x:c>
      <x:c r="J46" s="24" t="n">
        <x:v>29</x:v>
      </x:c>
      <x:c r="K46" s="24" t="n">
        <x:v>3</x:v>
      </x:c>
      <x:c r="L46" s="24" t="str">
        <x:v>是</x:v>
      </x:c>
      <x:c r="M46" s="24" t="str">
        <x:v>已根据用户确认机制整理，并补充V5建议数值</x:v>
      </x:c>
      <x:c r="N46" s="24" t="str">
        <x:v>Lv1/2/3 最大生命上限分别+1/+2/+3，装备/升级不自动治疗。</x:v>
      </x:c>
      <x:c r="O46" s="24" t="str">
        <x:v>+1/+2/+3HP成长很稳，2槽升三级性价比高；不能免费加当前HP。</x:v>
      </x:c>
      <x:c r="P46" s="24" t="str">
        <x:v>机制定稿/平衡建议待验</x:v>
      </x:c>
      <x:c r="Q46" s="24" t="str">
        <x:v>https://github.com/zhipijun1996/gunman-rush/blob/26e7f2a4459623f35613a857da8a75e89daa3e62/resources/actors/prototype_health.tres</x:v>
      </x:c>
    </x:row>
    <x:row r="47" ht="43" customHeight="1">
      <x:c r="A47" s="24" t="n">
        <x:v>42</x:v>
      </x:c>
      <x:c r="B47" s="24" t="str">
        <x:v>B12</x:v>
      </x:c>
      <x:c r="C47" s="24" t="str">
        <x:v>远行药匣</x:v>
      </x:c>
      <x:c r="D47" s="24" t="str">
        <x:v>蓝色</x:v>
      </x:c>
      <x:c r="E47" s="24" t="str">
        <x:v>第5批</x:v>
      </x:c>
      <x:c r="F47" s="24" t="str">
        <x:v>删除</x:v>
      </x:c>
      <x:c r="G47" s="24" t="n">
        <x:v>4</x:v>
      </x:c>
      <x:c r="H47" s="24" t="str"/>
      <x:c r="I47" s="24" t="n">
        <x:v>35</x:v>
      </x:c>
      <x:c r="J47" s="24" t="str"/>
      <x:c r="K47" s="24" t="str"/>
      <x:c r="L47" s="24" t="str">
        <x:v>否</x:v>
      </x:c>
      <x:c r="M47" s="24" t="str">
        <x:v>用户明确删除，保留历史以便追溯</x:v>
      </x:c>
      <x:c r="N47" s="24" t="str">
        <x:v>已移出奖励、商店和联动有效池</x:v>
      </x:c>
      <x:c r="O47" s="24" t="str">
        <x:v>无需继续做价格平衡</x:v>
      </x:c>
      <x:c r="P47" s="24" t="str">
        <x:v>已删除</x:v>
      </x:c>
      <x:c r="Q47" s="24" t="str">
        <x:v>https://github.com/zhipijun1996/gunman-rush/blob/26e7f2a4459623f35613a857da8a75e89daa3e62/resources/actors/prototype_health.tres</x:v>
      </x:c>
    </x:row>
    <x:row r="48" ht="43" customHeight="1">
      <x:c r="A48" s="24" t="n">
        <x:v>43</x:v>
      </x:c>
      <x:c r="B48" s="24" t="str">
        <x:v>B13</x:v>
      </x:c>
      <x:c r="C48" s="24" t="str">
        <x:v>晨露护片</x:v>
      </x:c>
      <x:c r="D48" s="24" t="str">
        <x:v>蓝色</x:v>
      </x:c>
      <x:c r="E48" s="24" t="str">
        <x:v>第5批</x:v>
      </x:c>
      <x:c r="F48" s="24" t="str">
        <x:v>保留</x:v>
      </x:c>
      <x:c r="G48" s="24" t="n">
        <x:v>1</x:v>
      </x:c>
      <x:c r="H48" s="24" t="n">
        <x:v>1</x:v>
      </x:c>
      <x:c r="I48" s="24" t="n">
        <x:v>26</x:v>
      </x:c>
      <x:c r="J48" s="24" t="n">
        <x:v>26</x:v>
      </x:c>
      <x:c r="K48" s="24" t="n">
        <x:v>1</x:v>
      </x:c>
      <x:c r="L48" s="24" t="str">
        <x:v>是</x:v>
      </x:c>
      <x:c r="M48" s="24" t="str">
        <x:v>已根据用户确认机制整理，并补充V5建议数值</x:v>
      </x:c>
      <x:c r="N48" s="24" t="str">
        <x:v>若装备，进入地图时得到1点临时护盾</x:v>
      </x:c>
      <x:c r="O48" s="24" t="str">
        <x:v>跨图1护盾只触发新图一次；1槽虽强但短局仅两次，价格26。</x:v>
      </x:c>
      <x:c r="P48" s="24" t="str">
        <x:v>机制定稿/平衡建议待验</x:v>
      </x:c>
      <x:c r="Q48" s="24" t="str">
        <x:v>https://github.com/zhipijun1996/gunman-rush/blob/26e7f2a4459623f35613a857da8a75e89daa3e62/scripts/combat/weapon_definition.gd</x:v>
      </x:c>
    </x:row>
    <x:row r="49" ht="43" customHeight="1">
      <x:c r="A49" s="24" t="n">
        <x:v>44</x:v>
      </x:c>
      <x:c r="B49" s="24" t="str">
        <x:v>B14</x:v>
      </x:c>
      <x:c r="C49" s="24" t="str">
        <x:v>苦痛铃歌</x:v>
      </x:c>
      <x:c r="D49" s="24" t="str">
        <x:v>蓝色</x:v>
      </x:c>
      <x:c r="E49" s="24" t="str">
        <x:v>第5批</x:v>
      </x:c>
      <x:c r="F49" s="24" t="str">
        <x:v>保留</x:v>
      </x:c>
      <x:c r="G49" s="24" t="n">
        <x:v>1</x:v>
      </x:c>
      <x:c r="H49" s="24" t="n">
        <x:v>1</x:v>
      </x:c>
      <x:c r="I49" s="24" t="n">
        <x:v>29</x:v>
      </x:c>
      <x:c r="J49" s="24" t="n">
        <x:v>27</x:v>
      </x:c>
      <x:c r="K49" s="24" t="n">
        <x:v>1</x:v>
      </x:c>
      <x:c r="L49" s="24" t="str">
        <x:v>是</x:v>
      </x:c>
      <x:c r="M49" s="24" t="str">
        <x:v>已根据用户确认机制整理，并补充V5建议数值</x:v>
      </x:c>
      <x:c r="N49" s="24" t="str">
        <x:v>实际损失HP后获得12点战斗能量；同一次伤害只触发一次，不超过100容量。</x:v>
      </x:c>
      <x:c r="O49" s="24" t="str">
        <x:v>失血才+12共鸣且CD7秒，可能鼓励冒险但无法自产循环。</x:v>
      </x:c>
      <x:c r="P49" s="24" t="str">
        <x:v>机制定稿/平衡建议待验</x:v>
      </x:c>
      <x:c r="Q49" s="24" t="str">
        <x:v>https://github.com/zhipijun1996/gunman-rush/blob/26e7f2a4459623f35613a857da8a75e89daa3e62/scripts/resources/state/combat_energy_state.gd</x:v>
      </x:c>
    </x:row>
    <x:row r="50" ht="43" customHeight="1">
      <x:c r="A50" s="24" t="n">
        <x:v>45</x:v>
      </x:c>
      <x:c r="B50" s="24" t="str">
        <x:v>B15</x:v>
      </x:c>
      <x:c r="C50" s="24" t="str">
        <x:v>荆棘铜衣</x:v>
      </x:c>
      <x:c r="D50" s="24" t="str">
        <x:v>蓝色</x:v>
      </x:c>
      <x:c r="E50" s="24" t="str">
        <x:v>第5批</x:v>
      </x:c>
      <x:c r="F50" s="24" t="str">
        <x:v>保留</x:v>
      </x:c>
      <x:c r="G50" s="24" t="n">
        <x:v>1</x:v>
      </x:c>
      <x:c r="H50" s="24" t="n">
        <x:v>1</x:v>
      </x:c>
      <x:c r="I50" s="24" t="n">
        <x:v>30</x:v>
      </x:c>
      <x:c r="J50" s="24" t="n">
        <x:v>28</x:v>
      </x:c>
      <x:c r="K50" s="24" t="n">
        <x:v>1</x:v>
      </x:c>
      <x:c r="L50" s="24" t="str">
        <x:v>是</x:v>
      </x:c>
      <x:c r="M50" s="24" t="str">
        <x:v>已根据用户确认机制整理，并补充V5建议数值</x:v>
      </x:c>
      <x:c r="N50" s="24" t="str">
        <x:v>受HP伤害后在周围78世界单位内造成0.65D反击；7秒冷却，派生伤害不回战斗能量。</x:v>
      </x:c>
      <x:c r="O50" s="24" t="str">
        <x:v>反击半径78、0.65D在5HP环境很冒险，1槽维持可用性。</x:v>
      </x:c>
      <x:c r="P50" s="24" t="str">
        <x:v>机制定稿/平衡建议待验</x:v>
      </x:c>
      <x:c r="Q50" s="24" t="str">
        <x:v>https://github.com/zhipijun1996/gunman-rush/blob/26e7f2a4459623f35613a857da8a75e89daa3e62/scripts/combat/weapon_definition.gd</x:v>
      </x:c>
    </x:row>
    <x:row r="51" ht="43" customHeight="1">
      <x:c r="A51" s="24" t="n">
        <x:v>46</x:v>
      </x:c>
      <x:c r="B51" s="24" t="str">
        <x:v>B27</x:v>
      </x:c>
      <x:c r="C51" s="24" t="str">
        <x:v>顽固护壳</x:v>
      </x:c>
      <x:c r="D51" s="24" t="str">
        <x:v>蓝色</x:v>
      </x:c>
      <x:c r="E51" s="24" t="str">
        <x:v>第5批</x:v>
      </x:c>
      <x:c r="F51" s="24" t="str">
        <x:v>保留</x:v>
      </x:c>
      <x:c r="G51" s="24" t="n">
        <x:v>3</x:v>
      </x:c>
      <x:c r="H51" s="24" t="n">
        <x:v>3</x:v>
      </x:c>
      <x:c r="I51" s="24" t="n">
        <x:v>30</x:v>
      </x:c>
      <x:c r="J51" s="24" t="n">
        <x:v>29</x:v>
      </x:c>
      <x:c r="K51" s="24" t="n">
        <x:v>1</x:v>
      </x:c>
      <x:c r="L51" s="24" t="str">
        <x:v>是</x:v>
      </x:c>
      <x:c r="M51" s="24" t="str">
        <x:v>已根据用户确认机制整理，并补充V5建议数值</x:v>
      </x:c>
      <x:c r="N51" s="24" t="str">
        <x:v>已有受伤无敌时间额外增加0.08秒；不能无限叠加。</x:v>
      </x:c>
      <x:c r="O51" s="24" t="str">
        <x:v>当前受伤反馈保护窗口较短，+0.08秒可以防连击但3槽偏重；暂维持等实际测试。</x:v>
      </x:c>
      <x:c r="P51" s="24" t="str">
        <x:v>机制定稿/平衡建议待验</x:v>
      </x:c>
      <x:c r="Q51" s="24" t="str">
        <x:v>https://github.com/zhipijun1996/gunman-rush/blob/26e7f2a4459623f35613a857da8a75e89daa3e62/scripts/combat/weapon_definition.gd</x:v>
      </x:c>
    </x:row>
    <x:row r="52" ht="43" customHeight="1">
      <x:c r="A52" s="24" t="n">
        <x:v>47</x:v>
      </x:c>
      <x:c r="B52" s="24" t="str">
        <x:v>B30</x:v>
      </x:c>
      <x:c r="C52" s="24" t="str">
        <x:v>易裂心匣</x:v>
      </x:c>
      <x:c r="D52" s="24" t="str">
        <x:v>蓝色</x:v>
      </x:c>
      <x:c r="E52" s="24" t="str">
        <x:v>第5批</x:v>
      </x:c>
      <x:c r="F52" s="24" t="str">
        <x:v>修改</x:v>
      </x:c>
      <x:c r="G52" s="24" t="n">
        <x:v>4</x:v>
      </x:c>
      <x:c r="H52" s="24" t="n">
        <x:v>4</x:v>
      </x:c>
      <x:c r="I52" s="24" t="n">
        <x:v>34</x:v>
      </x:c>
      <x:c r="J52" s="24" t="n">
        <x:v>28</x:v>
      </x:c>
      <x:c r="K52" s="24" t="n">
        <x:v>1</x:v>
      </x:c>
      <x:c r="L52" s="24" t="str">
        <x:v>是</x:v>
      </x:c>
      <x:c r="M52" s="24" t="str">
        <x:v>已根据用户确认机制整理，并补充V5建议数值</x:v>
      </x:c>
      <x:c r="N52" s="24" t="str">
        <x:v>最大HP+3；累计受到3次实际HP伤害后破碎，支付18金币修复；跨地图保留裂纹。</x:v>
      </x:c>
      <x:c r="O52" s="24" t="str">
        <x:v>+3HP但3次受伤即碎；对5HP基础显著，价格28、修复18保留风险。</x:v>
      </x:c>
      <x:c r="P52" s="24" t="str">
        <x:v>机制定稿/平衡建议待验</x:v>
      </x:c>
      <x:c r="Q52" s="24" t="str">
        <x:v>https://github.com/zhipijun1996/gunman-rush/blob/26e7f2a4459623f35613a857da8a75e89daa3e62/resources/actors/prototype_health.tres</x:v>
      </x:c>
    </x:row>
    <x:row r="53" ht="43" customHeight="1">
      <x:c r="A53" s="24" t="n">
        <x:v>48</x:v>
      </x:c>
      <x:c r="B53" s="24" t="str">
        <x:v>B32</x:v>
      </x:c>
      <x:c r="C53" s="24" t="str">
        <x:v>晨蓝洪流</x:v>
      </x:c>
      <x:c r="D53" s="24" t="str">
        <x:v>蓝色</x:v>
      </x:c>
      <x:c r="E53" s="24" t="str">
        <x:v>第5批</x:v>
      </x:c>
      <x:c r="F53" s="24" t="str">
        <x:v>保留</x:v>
      </x:c>
      <x:c r="G53" s="24" t="n">
        <x:v>4</x:v>
      </x:c>
      <x:c r="H53" s="24" t="n">
        <x:v>4</x:v>
      </x:c>
      <x:c r="I53" s="24" t="n">
        <x:v>37</x:v>
      </x:c>
      <x:c r="J53" s="24" t="n">
        <x:v>33</x:v>
      </x:c>
      <x:c r="K53" s="24" t="n">
        <x:v>1</x:v>
      </x:c>
      <x:c r="L53" s="24" t="str">
        <x:v>是</x:v>
      </x:c>
      <x:c r="M53" s="24" t="str">
        <x:v>已根据用户确认机制整理，并补充V5建议数值</x:v>
      </x:c>
      <x:c r="N53" s="24" t="str">
        <x:v>进入新地图时获得2点临时护盾；卸装、回退不得重复生成。</x:v>
      </x:c>
      <x:c r="O53" s="24" t="str">
        <x:v>入场2护盾，4槽较高但短图多用价值极大，价格33。</x:v>
      </x:c>
      <x:c r="P53" s="24" t="str">
        <x:v>机制定稿/平衡建议待验</x:v>
      </x:c>
      <x:c r="Q53" s="24" t="str">
        <x:v>https://github.com/zhipijun1996/gunman-rush/blob/26e7f2a4459623f35613a857da8a75e89daa3e62/scripts/combat/weapon_definition.gd</x:v>
      </x:c>
    </x:row>
    <x:row r="54" ht="43" customHeight="1">
      <x:c r="A54" s="24" t="n">
        <x:v>49</x:v>
      </x:c>
      <x:c r="B54" s="24" t="str">
        <x:v>P18</x:v>
      </x:c>
      <x:c r="C54" s="24" t="str">
        <x:v>暮钟心契</x:v>
      </x:c>
      <x:c r="D54" s="24" t="str">
        <x:v>紫色</x:v>
      </x:c>
      <x:c r="E54" s="24" t="str">
        <x:v>第5批</x:v>
      </x:c>
      <x:c r="F54" s="24" t="str">
        <x:v>修改</x:v>
      </x:c>
      <x:c r="G54" s="24" t="n">
        <x:v>3</x:v>
      </x:c>
      <x:c r="H54" s="24" t="n">
        <x:v>4</x:v>
      </x:c>
      <x:c r="I54" s="24" t="n">
        <x:v>79</x:v>
      </x:c>
      <x:c r="J54" s="24" t="n">
        <x:v>88</x:v>
      </x:c>
      <x:c r="K54" s="24" t="n">
        <x:v>1</x:v>
      </x:c>
      <x:c r="L54" s="24" t="str">
        <x:v>是</x:v>
      </x:c>
      <x:c r="M54" s="24" t="str">
        <x:v>已根据用户确认机制整理，并补充V5建议数值</x:v>
      </x:c>
      <x:c r="N54" s="24" t="str">
        <x:v>最大生命上限×2，首次装备当前HP按比例转换一次，此后常规治疗无效；首次装备后本局不可卸下、不可取消，不可升级。</x:v>
      </x:c>
      <x:c r="O54" s="24" t="str">
        <x:v>最大HP翻倍但治疗彻底封锁且不能卸下，改4槽、88金，入装时按比例转HP仅一次。</x:v>
      </x:c>
      <x:c r="P54" s="24" t="str">
        <x:v>机制定稿/平衡建议待验</x:v>
      </x:c>
      <x:c r="Q54" s="24" t="str">
        <x:v>https://github.com/zhipijun1996/gunman-rush/blob/26e7f2a4459623f35613a857da8a75e89daa3e62/resources/actors/prototype_health.tres</x:v>
      </x:c>
    </x:row>
    <x:row r="55" ht="43" customHeight="1">
      <x:c r="A55" s="24" t="n">
        <x:v>50</x:v>
      </x:c>
      <x:c r="B55" s="24" t="str">
        <x:v>P19</x:v>
      </x:c>
      <x:c r="C55" s="24" t="str">
        <x:v>守势铁幕</x:v>
      </x:c>
      <x:c r="D55" s="24" t="str">
        <x:v>紫色</x:v>
      </x:c>
      <x:c r="E55" s="24" t="str">
        <x:v>第5批</x:v>
      </x:c>
      <x:c r="F55" s="24" t="str">
        <x:v>删除</x:v>
      </x:c>
      <x:c r="G55" s="24" t="n">
        <x:v>4</x:v>
      </x:c>
      <x:c r="H55" s="24" t="str"/>
      <x:c r="I55" s="24" t="n">
        <x:v>73</x:v>
      </x:c>
      <x:c r="J55" s="24" t="str"/>
      <x:c r="K55" s="24" t="str"/>
      <x:c r="L55" s="24" t="str">
        <x:v>否</x:v>
      </x:c>
      <x:c r="M55" s="24" t="str">
        <x:v>用户明确删除，保留历史以便追溯</x:v>
      </x:c>
      <x:c r="N55" s="24" t="str">
        <x:v>已移出奖励、商店和联动有效池</x:v>
      </x:c>
      <x:c r="O55" s="24" t="str">
        <x:v>无需继续做价格平衡</x:v>
      </x:c>
      <x:c r="P55" s="24" t="str">
        <x:v>已删除</x:v>
      </x:c>
      <x:c r="Q55" s="24" t="str">
        <x:v>https://github.com/zhipijun1996/gunman-rush/blob/26e7f2a4459623f35613a857da8a75e89daa3e62/scripts/combat/weapon_definition.gd</x:v>
      </x:c>
    </x:row>
    <x:row r="56" ht="43" customHeight="1">
      <x:c r="A56" s="24" t="n">
        <x:v>51</x:v>
      </x:c>
      <x:c r="B56" s="24" t="str">
        <x:v>P20</x:v>
      </x:c>
      <x:c r="C56" s="24" t="str">
        <x:v>残影晶刺</x:v>
      </x:c>
      <x:c r="D56" s="24" t="str">
        <x:v>紫色</x:v>
      </x:c>
      <x:c r="E56" s="24" t="str">
        <x:v>第6批</x:v>
      </x:c>
      <x:c r="F56" s="24" t="str">
        <x:v>保留</x:v>
      </x:c>
      <x:c r="G56" s="24" t="n">
        <x:v>2</x:v>
      </x:c>
      <x:c r="H56" s="24" t="n">
        <x:v>2</x:v>
      </x:c>
      <x:c r="I56" s="24" t="n">
        <x:v>66</x:v>
      </x:c>
      <x:c r="J56" s="24" t="n">
        <x:v>49</x:v>
      </x:c>
      <x:c r="K56" s="24" t="n">
        <x:v>1</x:v>
      </x:c>
      <x:c r="L56" s="24" t="str">
        <x:v>是</x:v>
      </x:c>
      <x:c r="M56" s="24" t="str">
        <x:v>已根据用户确认机制整理，并补充V5建议数值</x:v>
      </x:c>
      <x:c r="N56" s="24" t="str">
        <x:v>原位置留下一枚水晶，敌触碰造成0.60D</x:v>
      </x:c>
      <x:c r="O56" s="24" t="str">
        <x:v>失血后留晶体需敌人再接触，0.6D与12秒CD收益低，49金。</x:v>
      </x:c>
      <x:c r="P56" s="24" t="str">
        <x:v>机制定稿/平衡建议待验</x:v>
      </x:c>
      <x:c r="Q56" s="24" t="str">
        <x:v>https://github.com/zhipijun1996/gunman-rush/blob/26e7f2a4459623f35613a857da8a75e89daa3e62/scripts/combat/weapon_definition.gd</x:v>
      </x:c>
    </x:row>
    <x:row r="57" ht="43" customHeight="1">
      <x:c r="A57" s="24" t="n">
        <x:v>52</x:v>
      </x:c>
      <x:c r="B57" s="24" t="str">
        <x:v>P26</x:v>
      </x:c>
      <x:c r="C57" s="24" t="str">
        <x:v>回声护幕</x:v>
      </x:c>
      <x:c r="D57" s="24" t="str">
        <x:v>紫色</x:v>
      </x:c>
      <x:c r="E57" s="24" t="str">
        <x:v>第6批</x:v>
      </x:c>
      <x:c r="F57" s="24" t="str">
        <x:v>修改</x:v>
      </x:c>
      <x:c r="G57" s="24" t="n">
        <x:v>3</x:v>
      </x:c>
      <x:c r="H57" s="24" t="n">
        <x:v>3</x:v>
      </x:c>
      <x:c r="I57" s="24" t="n">
        <x:v>73</x:v>
      </x:c>
      <x:c r="J57" s="24" t="n">
        <x:v>73</x:v>
      </x:c>
      <x:c r="K57" s="24" t="n">
        <x:v>1</x:v>
      </x:c>
      <x:c r="L57" s="24" t="str">
        <x:v>是</x:v>
      </x:c>
      <x:c r="M57" s="24" t="str">
        <x:v>已根据用户确认机制整理，并补充V5建议数值</x:v>
      </x:c>
      <x:c r="N57" s="24" t="str">
        <x:v>主动消耗80点战斗共鸣，使玩家正常运动但抵御符合条件的HP伤害3秒（真实活动时间）；CD30秒；不挡强制失败或坠落。</x:v>
      </x:c>
      <x:c r="O57" s="24" t="str">
        <x:v>主动3秒绝对防HP伤害，CD30秒+80共鸣的防护价值高，73金不必过贵。</x:v>
      </x:c>
      <x:c r="P57" s="24" t="str">
        <x:v>机制定稿/平衡建议待验</x:v>
      </x:c>
      <x:c r="Q57" s="24" t="str">
        <x:v>https://github.com/zhipijun1996/gunman-rush/blob/26e7f2a4459623f35613a857da8a75e89daa3e62/scripts/resources/state/combat_energy_state.gd</x:v>
      </x:c>
    </x:row>
    <x:row r="58" ht="43" customHeight="1">
      <x:c r="A58" s="24" t="n">
        <x:v>53</x:v>
      </x:c>
      <x:c r="B58" s="24" t="str">
        <x:v>P27</x:v>
      </x:c>
      <x:c r="C58" s="24" t="str">
        <x:v>随身修补针</x:v>
      </x:c>
      <x:c r="D58" s="24" t="str">
        <x:v>紫色</x:v>
      </x:c>
      <x:c r="E58" s="24" t="str">
        <x:v>第6批</x:v>
      </x:c>
      <x:c r="F58" s="24" t="str">
        <x:v>保留</x:v>
      </x:c>
      <x:c r="G58" s="24" t="n">
        <x:v>2</x:v>
      </x:c>
      <x:c r="H58" s="24" t="n">
        <x:v>2</x:v>
      </x:c>
      <x:c r="I58" s="24" t="n">
        <x:v>75</x:v>
      </x:c>
      <x:c r="J58" s="24" t="n">
        <x:v>48</x:v>
      </x:c>
      <x:c r="K58" s="24" t="n">
        <x:v>1</x:v>
      </x:c>
      <x:c r="L58" s="24" t="str">
        <x:v>是</x:v>
      </x:c>
      <x:c r="M58" s="24" t="str">
        <x:v>已根据用户确认机制整理，并补充V5建议数值</x:v>
      </x:c>
      <x:c r="N58" s="24" t="str">
        <x:v>消耗65战斗能量恢复1HP；每图最多2次，且不能被卸装刷次数。</x:v>
      </x:c>
      <x:c r="O58" s="24" t="str">
        <x:v>65共鸣换1HP每图限2，战斗资源珍贵，48金优于旧75。</x:v>
      </x:c>
      <x:c r="P58" s="24" t="str">
        <x:v>机制定稿/平衡建议待验</x:v>
      </x:c>
      <x:c r="Q58" s="24" t="str">
        <x:v>https://github.com/zhipijun1996/gunman-rush/blob/26e7f2a4459623f35613a857da8a75e89daa3e62/scripts/resources/state/combat_energy_state.gd</x:v>
      </x:c>
    </x:row>
    <x:row r="59" ht="43" customHeight="1">
      <x:c r="A59" s="24" t="n">
        <x:v>54</x:v>
      </x:c>
      <x:c r="B59" s="24" t="str">
        <x:v>P30</x:v>
      </x:c>
      <x:c r="C59" s="24" t="str">
        <x:v>铃木厚心</x:v>
      </x:c>
      <x:c r="D59" s="24" t="str">
        <x:v>紫色</x:v>
      </x:c>
      <x:c r="E59" s="24" t="str">
        <x:v>第6批</x:v>
      </x:c>
      <x:c r="F59" s="24" t="str">
        <x:v>删除</x:v>
      </x:c>
      <x:c r="G59" s="24" t="n">
        <x:v>2</x:v>
      </x:c>
      <x:c r="H59" s="24" t="str"/>
      <x:c r="I59" s="24" t="n">
        <x:v>68</x:v>
      </x:c>
      <x:c r="J59" s="24" t="str"/>
      <x:c r="K59" s="24" t="str"/>
      <x:c r="L59" s="24" t="str">
        <x:v>否</x:v>
      </x:c>
      <x:c r="M59" s="24" t="str">
        <x:v>用户明确删除，保留历史以便追溯</x:v>
      </x:c>
      <x:c r="N59" s="24" t="str">
        <x:v>已移出奖励、商店和联动有效池</x:v>
      </x:c>
      <x:c r="O59" s="24" t="str">
        <x:v>无需继续做价格平衡</x:v>
      </x:c>
      <x:c r="P59" s="24" t="str">
        <x:v>已删除</x:v>
      </x:c>
      <x:c r="Q59" s="24" t="str">
        <x:v>https://github.com/zhipijun1996/gunman-rush/blob/26e7f2a4459623f35613a857da8a75e89daa3e62/resources/actors/prototype_health.tres</x:v>
      </x:c>
    </x:row>
    <x:row r="60" ht="43" customHeight="1">
      <x:c r="A60" s="24" t="n">
        <x:v>55</x:v>
      </x:c>
      <x:c r="B60" s="24" t="str">
        <x:v>G02</x:v>
      </x:c>
      <x:c r="C60" s="24" t="str">
        <x:v>无忧余音</x:v>
      </x:c>
      <x:c r="D60" s="24" t="str">
        <x:v>金色</x:v>
      </x:c>
      <x:c r="E60" s="24" t="str">
        <x:v>第6批</x:v>
      </x:c>
      <x:c r="F60" s="24" t="str">
        <x:v>修改</x:v>
      </x:c>
      <x:c r="G60" s="24" t="n">
        <x:v>1</x:v>
      </x:c>
      <x:c r="H60" s="24" t="n">
        <x:v>1</x:v>
      </x:c>
      <x:c r="I60" s="24" t="n">
        <x:v>135</x:v>
      </x:c>
      <x:c r="J60" s="24" t="n">
        <x:v>73</x:v>
      </x:c>
      <x:c r="K60" s="24" t="n">
        <x:v>1</x:v>
      </x:c>
      <x:c r="L60" s="24" t="str">
        <x:v>是</x:v>
      </x:c>
      <x:c r="M60" s="24" t="str">
        <x:v>已根据用户确认机制整理，并补充V5建议数值</x:v>
      </x:c>
      <x:c r="N60" s="24" t="str">
        <x:v>每累计3次真实HP受伤便获得1点共享临时护盾；累计跨地图，受盾抵挡不计；共享护盾上限3。</x:v>
      </x:c>
      <x:c r="O60" s="24" t="str">
        <x:v>每累计3次真HP损失才得1盾，5HP基线触发有风险，1槽配低价。</x:v>
      </x:c>
      <x:c r="P60" s="24" t="str">
        <x:v>机制定稿/平衡建议待验</x:v>
      </x:c>
      <x:c r="Q60" s="24" t="str">
        <x:v>https://github.com/zhipijun1996/gunman-rush/blob/26e7f2a4459623f35613a857da8a75e89daa3e62/scripts/combat/weapon_definition.gd</x:v>
      </x:c>
    </x:row>
    <x:row r="61" ht="43" customHeight="1">
      <x:c r="A61" s="24" t="n">
        <x:v>56</x:v>
      </x:c>
      <x:c r="B61" s="24" t="str">
        <x:v>G03</x:v>
      </x:c>
      <x:c r="C61" s="24" t="str">
        <x:v>春归铃枝</x:v>
      </x:c>
      <x:c r="D61" s="24" t="str">
        <x:v>金色</x:v>
      </x:c>
      <x:c r="E61" s="24" t="str">
        <x:v>第6批</x:v>
      </x:c>
      <x:c r="F61" s="24" t="str">
        <x:v>修改</x:v>
      </x:c>
      <x:c r="G61" s="24" t="n">
        <x:v>2</x:v>
      </x:c>
      <x:c r="H61" s="24" t="n">
        <x:v>2</x:v>
      </x:c>
      <x:c r="I61" s="24" t="n">
        <x:v>130</x:v>
      </x:c>
      <x:c r="J61" s="24" t="n">
        <x:v>76</x:v>
      </x:c>
      <x:c r="K61" s="24" t="n">
        <x:v>1</x:v>
      </x:c>
      <x:c r="L61" s="24" t="str">
        <x:v>是</x:v>
      </x:c>
      <x:c r="M61" s="24" t="str">
        <x:v>已根据用户确认机制整理，并补充V5建议数值</x:v>
      </x:c>
      <x:c r="N61" s="24" t="str">
        <x:v>每张新地图首次进入时恢复1HP；返回旧图/复活/重载不触发；暮钟心契禁止其治疗。</x:v>
      </x:c>
      <x:c r="O61" s="24" t="str">
        <x:v>每张新图首次恢复1HP，只有2图时总治疗不多，不能对禁疗誓约生效。</x:v>
      </x:c>
      <x:c r="P61" s="24" t="str">
        <x:v>机制定稿/平衡建议待验</x:v>
      </x:c>
      <x:c r="Q61" s="24" t="str">
        <x:v>https://github.com/zhipijun1996/gunman-rush/blob/26e7f2a4459623f35613a857da8a75e89daa3e62/resources/actors/prototype_health.tres</x:v>
      </x:c>
    </x:row>
    <x:row r="62" ht="43" customHeight="1">
      <x:c r="A62" s="24" t="n">
        <x:v>57</x:v>
      </x:c>
      <x:c r="B62" s="24" t="str">
        <x:v>G04</x:v>
      </x:c>
      <x:c r="C62" s="24" t="str">
        <x:v>零时护心</x:v>
      </x:c>
      <x:c r="D62" s="24" t="str">
        <x:v>金色</x:v>
      </x:c>
      <x:c r="E62" s="24" t="str">
        <x:v>第6批</x:v>
      </x:c>
      <x:c r="F62" s="24" t="str">
        <x:v>保留</x:v>
      </x:c>
      <x:c r="G62" s="24" t="n">
        <x:v>4</x:v>
      </x:c>
      <x:c r="H62" s="24" t="n">
        <x:v>4</x:v>
      </x:c>
      <x:c r="I62" s="24" t="n">
        <x:v>160</x:v>
      </x:c>
      <x:c r="J62" s="24" t="n">
        <x:v>89</x:v>
      </x:c>
      <x:c r="K62" s="24" t="n">
        <x:v>1</x:v>
      </x:c>
      <x:c r="L62" s="24" t="str">
        <x:v>是</x:v>
      </x:c>
      <x:c r="M62" s="24" t="str">
        <x:v>已根据用户确认机制整理，并补充V5建议数值</x:v>
      </x:c>
      <x:c r="N62" s="24" t="str">
        <x:v>即将因敌方伤害死亡时消耗65战斗能量保留1HP；每图最多一次。</x:v>
      </x:c>
      <x:c r="O62" s="24" t="str">
        <x:v>65共鸣抵挡致死攻击每图一次，4槽比普通防御更稳定，保留高售价。</x:v>
      </x:c>
      <x:c r="P62" s="24" t="str">
        <x:v>机制定稿/平衡建议待验</x:v>
      </x:c>
      <x:c r="Q62" s="24" t="str">
        <x:v>https://github.com/zhipijun1996/gunman-rush/blob/26e7f2a4459623f35613a857da8a75e89daa3e62/scripts/resources/state/combat_energy_state.gd</x:v>
      </x:c>
    </x:row>
    <x:row r="63" ht="43" customHeight="1">
      <x:c r="A63" s="24" t="n">
        <x:v>58</x:v>
      </x:c>
      <x:c r="B63" s="24" t="str">
        <x:v>G11</x:v>
      </x:c>
      <x:c r="C63" s="24" t="str">
        <x:v>不朽心匣</x:v>
      </x:c>
      <x:c r="D63" s="24" t="str">
        <x:v>金色</x:v>
      </x:c>
      <x:c r="E63" s="24" t="str">
        <x:v>第6批</x:v>
      </x:c>
      <x:c r="F63" s="24" t="str">
        <x:v>保留</x:v>
      </x:c>
      <x:c r="G63" s="24" t="n">
        <x:v>2</x:v>
      </x:c>
      <x:c r="H63" s="24" t="n">
        <x:v>2</x:v>
      </x:c>
      <x:c r="I63" s="24" t="n">
        <x:v>125</x:v>
      </x:c>
      <x:c r="J63" s="24" t="n">
        <x:v>75</x:v>
      </x:c>
      <x:c r="K63" s="24" t="n">
        <x:v>1</x:v>
      </x:c>
      <x:c r="L63" s="24" t="str">
        <x:v>是</x:v>
      </x:c>
      <x:c r="M63" s="24" t="str">
        <x:v>已根据用户确认机制整理，并补充V5建议数值</x:v>
      </x:c>
      <x:c r="N63" s="24" t="str">
        <x:v>最大HP+3，无破损</x:v>
      </x:c>
      <x:c r="O63" s="24" t="str">
        <x:v>永久+3HP无破损且2槽比蓝色Lv3省收集次数，75金币值得。</x:v>
      </x:c>
      <x:c r="P63" s="24" t="str">
        <x:v>机制定稿/平衡建议待验</x:v>
      </x:c>
      <x:c r="Q63" s="24" t="str">
        <x:v>https://github.com/zhipijun1996/gunman-rush/blob/26e7f2a4459623f35613a857da8a75e89daa3e62/resources/actors/prototype_health.tres</x:v>
      </x:c>
    </x:row>
    <x:row r="64" ht="43" customHeight="1">
      <x:c r="A64" s="24" t="n">
        <x:v>59</x:v>
      </x:c>
      <x:c r="B64" s="24" t="str">
        <x:v>G18</x:v>
      </x:c>
      <x:c r="C64" s="24" t="str">
        <x:v>借时残契</x:v>
      </x:c>
      <x:c r="D64" s="24" t="str">
        <x:v>金色</x:v>
      </x:c>
      <x:c r="E64" s="24" t="str">
        <x:v>第6批</x:v>
      </x:c>
      <x:c r="F64" s="24" t="str">
        <x:v>删除</x:v>
      </x:c>
      <x:c r="G64" s="24" t="n">
        <x:v>1</x:v>
      </x:c>
      <x:c r="H64" s="24" t="str"/>
      <x:c r="I64" s="24" t="n">
        <x:v>136</x:v>
      </x:c>
      <x:c r="J64" s="24" t="str"/>
      <x:c r="K64" s="24" t="str"/>
      <x:c r="L64" s="24" t="str">
        <x:v>否</x:v>
      </x:c>
      <x:c r="M64" s="24" t="str">
        <x:v>用户明确删除，保留历史以便追溯</x:v>
      </x:c>
      <x:c r="N64" s="24" t="str">
        <x:v>已移出奖励、商店和联动有效池</x:v>
      </x:c>
      <x:c r="O64" s="24" t="str">
        <x:v>无需继续做价格平衡</x:v>
      </x:c>
      <x:c r="P64" s="24" t="str">
        <x:v>已删除</x:v>
      </x:c>
      <x:c r="Q64" s="24" t="str">
        <x:v>https://github.com/zhipijun1996/gunman-rush/blob/26e7f2a4459623f35613a857da8a75e89daa3e62/scripts/resources/state/combat_energy_state.gd</x:v>
      </x:c>
    </x:row>
    <x:row r="65" ht="43" customHeight="1">
      <x:c r="A65" s="24" t="n">
        <x:v>60</x:v>
      </x:c>
      <x:c r="B65" s="24" t="str">
        <x:v>P05</x:v>
      </x:c>
      <x:c r="C65" s="24" t="str">
        <x:v>末息轮芯</x:v>
      </x:c>
      <x:c r="D65" s="24" t="str">
        <x:v>紫色</x:v>
      </x:c>
      <x:c r="E65" s="24" t="str">
        <x:v>第6批</x:v>
      </x:c>
      <x:c r="F65" s="24" t="str">
        <x:v>保留</x:v>
      </x:c>
      <x:c r="G65" s="24" t="n">
        <x:v>2</x:v>
      </x:c>
      <x:c r="H65" s="24" t="n">
        <x:v>2</x:v>
      </x:c>
      <x:c r="I65" s="24" t="n">
        <x:v>68</x:v>
      </x:c>
      <x:c r="J65" s="24" t="n">
        <x:v>51</x:v>
      </x:c>
      <x:c r="K65" s="24" t="n">
        <x:v>1</x:v>
      </x:c>
      <x:c r="L65" s="24" t="str">
        <x:v>是</x:v>
      </x:c>
      <x:c r="M65" s="24" t="str">
        <x:v>已根据用户确认机制整理，并补充V5建议数值</x:v>
      </x:c>
      <x:c r="N65" s="24" t="str">
        <x:v>HP≤40%时主攻直接伤害×1.35；初始5HP下通常对应≤2HP。</x:v>
      </x:c>
      <x:c r="O65" s="24" t="str">
        <x:v>HP≤40%伤害+35%，5血时≤2HP高死亡风险，51金币合理。</x:v>
      </x:c>
      <x:c r="P65" s="24" t="str">
        <x:v>机制定稿/平衡建议待验</x:v>
      </x:c>
      <x:c r="Q65" s="24" t="str">
        <x:v>https://github.com/zhipijun1996/gunman-rush/blob/26e7f2a4459623f35613a857da8a75e89daa3e62/scripts/combat/weapon_definition.gd</x:v>
      </x:c>
    </x:row>
    <x:row r="66" ht="43" customHeight="1">
      <x:c r="A66" s="24" t="n">
        <x:v>61</x:v>
      </x:c>
      <x:c r="B66" s="24" t="str">
        <x:v>B24</x:v>
      </x:c>
      <x:c r="C66" s="24" t="str">
        <x:v>余火枪片</x:v>
      </x:c>
      <x:c r="D66" s="24" t="str">
        <x:v>蓝色</x:v>
      </x:c>
      <x:c r="E66" s="24" t="str">
        <x:v>第7批</x:v>
      </x:c>
      <x:c r="F66" s="24" t="str">
        <x:v>保留</x:v>
      </x:c>
      <x:c r="G66" s="24" t="n">
        <x:v>2</x:v>
      </x:c>
      <x:c r="H66" s="24" t="n">
        <x:v>2</x:v>
      </x:c>
      <x:c r="I66" s="24" t="n">
        <x:v>36</x:v>
      </x:c>
      <x:c r="J66" s="24" t="n">
        <x:v>31</x:v>
      </x:c>
      <x:c r="K66" s="24" t="n">
        <x:v>1</x:v>
      </x:c>
      <x:c r="L66" s="24" t="str">
        <x:v>是</x:v>
      </x:c>
      <x:c r="M66" s="24" t="str">
        <x:v>已根据用户确认机制整理，并补充V5建议数值</x:v>
      </x:c>
      <x:c r="N66" s="24" t="str">
        <x:v>主攻命中附加3秒余火，总伤害0.35D，3秒内部冷却，不触发二次产能。</x:v>
      </x:c>
      <x:c r="O66" s="24" t="str">
        <x:v>三秒燃烧仅0.35D，对1D基础并不强；低价让持续伤害作辅助。</x:v>
      </x:c>
      <x:c r="P66" s="24" t="str">
        <x:v>机制定稿/平衡建议待验</x:v>
      </x:c>
      <x:c r="Q66" s="24" t="str">
        <x:v>https://github.com/zhipijun1996/gunman-rush/blob/26e7f2a4459623f35613a857da8a75e89daa3e62/scripts/combat/weapon_definition.gd</x:v>
      </x:c>
    </x:row>
    <x:row r="67" ht="43" customHeight="1">
      <x:c r="A67" s="24" t="n">
        <x:v>62</x:v>
      </x:c>
      <x:c r="B67" s="24" t="str">
        <x:v>P09</x:v>
      </x:c>
      <x:c r="C67" s="24" t="str">
        <x:v>弹震继电匣</x:v>
      </x:c>
      <x:c r="D67" s="24" t="str">
        <x:v>紫色</x:v>
      </x:c>
      <x:c r="E67" s="24" t="str">
        <x:v>第7批</x:v>
      </x:c>
      <x:c r="F67" s="24" t="str">
        <x:v>保留</x:v>
      </x:c>
      <x:c r="G67" s="24" t="n">
        <x:v>3</x:v>
      </x:c>
      <x:c r="H67" s="24" t="n">
        <x:v>3</x:v>
      </x:c>
      <x:c r="I67" s="24" t="n">
        <x:v>70</x:v>
      </x:c>
      <x:c r="J67" s="24" t="n">
        <x:v>53</x:v>
      </x:c>
      <x:c r="K67" s="24" t="n">
        <x:v>1</x:v>
      </x:c>
      <x:c r="L67" s="24" t="str">
        <x:v>是</x:v>
      </x:c>
      <x:c r="M67" s="24" t="str">
        <x:v>已根据用户确认机制整理，并补充V5建议数值</x:v>
      </x:c>
      <x:c r="N67" s="24" t="str">
        <x:v>主攻命中后引发88半径的继电爆震，0.30D，CD3秒；同攻击包最多一次、无递归。</x:v>
      </x:c>
      <x:c r="O67" s="24" t="str">
        <x:v>3秒CD的小范围爆炸比直伤适合清群怪；已有连锁电击，两者差异保留。</x:v>
      </x:c>
      <x:c r="P67" s="24" t="str">
        <x:v>机制定稿/平衡建议待验</x:v>
      </x:c>
      <x:c r="Q67" s="24" t="str">
        <x:v>https://github.com/zhipijun1996/gunman-rush/blob/26e7f2a4459623f35613a857da8a75e89daa3e62/scripts/combat/weapon_definition.gd</x:v>
      </x:c>
    </x:row>
    <x:row r="68" ht="43" customHeight="1">
      <x:c r="A68" s="24" t="n">
        <x:v>63</x:v>
      </x:c>
      <x:c r="B68" s="24" t="str">
        <x:v>P10</x:v>
      </x:c>
      <x:c r="C68" s="24" t="str">
        <x:v>腐蚀尾铃</x:v>
      </x:c>
      <x:c r="D68" s="24" t="str">
        <x:v>紫色</x:v>
      </x:c>
      <x:c r="E68" s="24" t="str">
        <x:v>第7批</x:v>
      </x:c>
      <x:c r="F68" s="24" t="str">
        <x:v>保留</x:v>
      </x:c>
      <x:c r="G68" s="24" t="n">
        <x:v>2</x:v>
      </x:c>
      <x:c r="H68" s="24" t="n">
        <x:v>2</x:v>
      </x:c>
      <x:c r="I68" s="24" t="n">
        <x:v>64</x:v>
      </x:c>
      <x:c r="J68" s="24" t="n">
        <x:v>48</x:v>
      </x:c>
      <x:c r="K68" s="24" t="n">
        <x:v>1</x:v>
      </x:c>
      <x:c r="L68" s="24" t="str">
        <x:v>是</x:v>
      </x:c>
      <x:c r="M68" s="24" t="str">
        <x:v>已根据用户确认机制整理，并补充V5建议数值</x:v>
      </x:c>
      <x:c r="N68" s="24" t="str">
        <x:v>技能触发生成3秒腐蚀云，半径75，每秒造成0.15D；不产生战斗能量。</x:v>
      </x:c>
      <x:c r="O68" s="24" t="str">
        <x:v>必须先用主动技能5秒内命中，再成云，触发较复杂；48金降低获取门槛。</x:v>
      </x:c>
      <x:c r="P68" s="24" t="str">
        <x:v>机制定稿/平衡建议待验</x:v>
      </x:c>
      <x:c r="Q68" s="24" t="str">
        <x:v>https://github.com/zhipijun1996/gunman-rush/blob/26e7f2a4459623f35613a857da8a75e89daa3e62/scripts/combat/weapon_definition.gd</x:v>
      </x:c>
    </x:row>
    <x:row r="69" ht="43" customHeight="1">
      <x:c r="A69" s="24" t="n">
        <x:v>64</x:v>
      </x:c>
      <x:c r="B69" s="24" t="str">
        <x:v>P11</x:v>
      </x:c>
      <x:c r="C69" s="24" t="str">
        <x:v>孢子风囊</x:v>
      </x:c>
      <x:c r="D69" s="24" t="str">
        <x:v>紫色</x:v>
      </x:c>
      <x:c r="E69" s="24" t="str">
        <x:v>第7批</x:v>
      </x:c>
      <x:c r="F69" s="24" t="str">
        <x:v>删除</x:v>
      </x:c>
      <x:c r="G69" s="24" t="n">
        <x:v>2</x:v>
      </x:c>
      <x:c r="H69" s="24" t="str"/>
      <x:c r="I69" s="24" t="n">
        <x:v>59</x:v>
      </x:c>
      <x:c r="J69" s="24" t="str"/>
      <x:c r="K69" s="24" t="str"/>
      <x:c r="L69" s="24" t="str">
        <x:v>否</x:v>
      </x:c>
      <x:c r="M69" s="24" t="str">
        <x:v>用户明确删除，保留历史以便追溯</x:v>
      </x:c>
      <x:c r="N69" s="24" t="str">
        <x:v>已移出奖励、商店和联动有效池</x:v>
      </x:c>
      <x:c r="O69" s="24" t="str">
        <x:v>无需继续做价格平衡</x:v>
      </x:c>
      <x:c r="P69" s="24" t="str">
        <x:v>已删除</x:v>
      </x:c>
      <x:c r="Q69" s="24" t="str">
        <x:v>https://github.com/zhipijun1996/gunman-rush/blob/26e7f2a4459623f35613a857da8a75e89daa3e62/scripts/combat/weapon_definition.gd</x:v>
      </x:c>
    </x:row>
    <x:row r="70" ht="43" customHeight="1">
      <x:c r="A70" s="24" t="n">
        <x:v>65</x:v>
      </x:c>
      <x:c r="B70" s="24" t="str">
        <x:v>P14</x:v>
      </x:c>
      <x:c r="C70" s="24" t="str">
        <x:v>游钟机群</x:v>
      </x:c>
      <x:c r="D70" s="24" t="str">
        <x:v>紫色</x:v>
      </x:c>
      <x:c r="E70" s="24" t="str">
        <x:v>第7批</x:v>
      </x:c>
      <x:c r="F70" s="24" t="str">
        <x:v>保留</x:v>
      </x:c>
      <x:c r="G70" s="24" t="n">
        <x:v>3</x:v>
      </x:c>
      <x:c r="H70" s="24" t="n">
        <x:v>3</x:v>
      </x:c>
      <x:c r="I70" s="24" t="n">
        <x:v>75</x:v>
      </x:c>
      <x:c r="J70" s="24" t="n">
        <x:v>54</x:v>
      </x:c>
      <x:c r="K70" s="24" t="n">
        <x:v>1</x:v>
      </x:c>
      <x:c r="L70" s="24" t="str">
        <x:v>是</x:v>
      </x:c>
      <x:c r="M70" s="24" t="str">
        <x:v>已根据用户确认机制整理，并补充V5建议数值</x:v>
      </x:c>
      <x:c r="N70" s="24" t="str">
        <x:v>装备期间跟随3台小型游钟无人机，每台1.5秒一次0.12D；不产共鸣，卸下消失。</x:v>
      </x:c>
      <x:c r="O70" s="24" t="str">
        <x:v>三台小巡钟机合计DPS0.24D/秒、每击0.12D，弱于玩家但常驻安全输出。</x:v>
      </x:c>
      <x:c r="P70" s="24" t="str">
        <x:v>机制定稿/平衡建议待验</x:v>
      </x:c>
      <x:c r="Q70" s="24" t="str">
        <x:v>https://github.com/zhipijun1996/gunman-rush/blob/26e7f2a4459623f35613a857da8a75e89daa3e62/scripts/combat/weapon_definition.gd</x:v>
      </x:c>
    </x:row>
    <x:row r="71" ht="43" customHeight="1">
      <x:c r="A71" s="24" t="n">
        <x:v>66</x:v>
      </x:c>
      <x:c r="B71" s="24" t="str">
        <x:v>P15</x:v>
      </x:c>
      <x:c r="C71" s="24" t="str">
        <x:v>续鸣装配匣</x:v>
      </x:c>
      <x:c r="D71" s="24" t="str">
        <x:v>紫色</x:v>
      </x:c>
      <x:c r="E71" s="24" t="str">
        <x:v>第7批</x:v>
      </x:c>
      <x:c r="F71" s="24" t="str">
        <x:v>保留</x:v>
      </x:c>
      <x:c r="G71" s="24" t="n">
        <x:v>3</x:v>
      </x:c>
      <x:c r="H71" s="24" t="n">
        <x:v>3</x:v>
      </x:c>
      <x:c r="I71" s="24" t="n">
        <x:v>78</x:v>
      </x:c>
      <x:c r="J71" s="24" t="n">
        <x:v>52</x:v>
      </x:c>
      <x:c r="K71" s="24" t="n">
        <x:v>1</x:v>
      </x:c>
      <x:c r="L71" s="24" t="str">
        <x:v>是</x:v>
      </x:c>
      <x:c r="M71" s="24" t="str">
        <x:v>已根据用户确认机制整理，并补充V5建议数值</x:v>
      </x:c>
      <x:c r="N71" s="24" t="str">
        <x:v>实际消耗每累计45共鸣产生一台临时巡钟无人机，持续8秒、单次0.35D，同场最多2台。</x:v>
      </x:c>
      <x:c r="O71" s="24" t="str">
        <x:v>消耗45共鸣才产临时机，8秒持续、双机上限，偏技能联动不应过贵。</x:v>
      </x:c>
      <x:c r="P71" s="24" t="str">
        <x:v>机制定稿/平衡建议待验</x:v>
      </x:c>
      <x:c r="Q71" s="24" t="str">
        <x:v>https://github.com/zhipijun1996/gunman-rush/blob/26e7f2a4459623f35613a857da8a75e89daa3e62/scripts/resources/state/combat_energy_state.gd</x:v>
      </x:c>
    </x:row>
    <x:row r="72" ht="43" customHeight="1">
      <x:c r="A72" s="24" t="n">
        <x:v>67</x:v>
      </x:c>
      <x:c r="B72" s="24" t="str">
        <x:v>P16</x:v>
      </x:c>
      <x:c r="C72" s="24" t="str">
        <x:v>循时梦盾</x:v>
      </x:c>
      <x:c r="D72" s="24" t="str">
        <x:v>紫色</x:v>
      </x:c>
      <x:c r="E72" s="24" t="str">
        <x:v>第7批</x:v>
      </x:c>
      <x:c r="F72" s="24" t="str">
        <x:v>保留</x:v>
      </x:c>
      <x:c r="G72" s="24" t="n">
        <x:v>4</x:v>
      </x:c>
      <x:c r="H72" s="24" t="n">
        <x:v>3</x:v>
      </x:c>
      <x:c r="I72" s="24" t="n">
        <x:v>77</x:v>
      </x:c>
      <x:c r="J72" s="24" t="n">
        <x:v>50</x:v>
      </x:c>
      <x:c r="K72" s="24" t="n">
        <x:v>1</x:v>
      </x:c>
      <x:c r="L72" s="24" t="str">
        <x:v>是</x:v>
      </x:c>
      <x:c r="M72" s="24" t="str">
        <x:v>已根据用户确认机制整理，并补充V5建议数值</x:v>
      </x:c>
      <x:c r="N72" s="24" t="str">
        <x:v>拦截一颗敌方弹体</x:v>
      </x:c>
      <x:c r="O72" s="24" t="str">
        <x:v>12秒自动拦截一次敌方弹体，不防身体/荆棘，原4槽过重建议3槽。</x:v>
      </x:c>
      <x:c r="P72" s="24" t="str">
        <x:v>机制定稿/平衡建议待验</x:v>
      </x:c>
      <x:c r="Q72" s="24" t="str">
        <x:v>https://github.com/zhipijun1996/gunman-rush/blob/26e7f2a4459623f35613a857da8a75e89daa3e62/scripts/combat/weapon_definition.gd</x:v>
      </x:c>
    </x:row>
    <x:row r="73" ht="43" customHeight="1">
      <x:c r="A73" s="24" t="n">
        <x:v>68</x:v>
      </x:c>
      <x:c r="B73" s="24" t="str">
        <x:v>P28</x:v>
      </x:c>
      <x:c r="C73" s="24" t="str">
        <x:v>蚀刻毒囊</x:v>
      </x:c>
      <x:c r="D73" s="24" t="str">
        <x:v>紫色</x:v>
      </x:c>
      <x:c r="E73" s="24" t="str">
        <x:v>第7批</x:v>
      </x:c>
      <x:c r="F73" s="24" t="str">
        <x:v>删除</x:v>
      </x:c>
      <x:c r="G73" s="24" t="n">
        <x:v>1</x:v>
      </x:c>
      <x:c r="H73" s="24" t="str"/>
      <x:c r="I73" s="24" t="n">
        <x:v>68</x:v>
      </x:c>
      <x:c r="J73" s="24" t="str"/>
      <x:c r="K73" s="24" t="str"/>
      <x:c r="L73" s="24" t="str">
        <x:v>否</x:v>
      </x:c>
      <x:c r="M73" s="24" t="str">
        <x:v>用户明确删除，保留历史以便追溯</x:v>
      </x:c>
      <x:c r="N73" s="24" t="str">
        <x:v>已移出奖励、商店和联动有效池</x:v>
      </x:c>
      <x:c r="O73" s="24" t="str">
        <x:v>无需继续做价格平衡</x:v>
      </x:c>
      <x:c r="P73" s="24" t="str">
        <x:v>已删除</x:v>
      </x:c>
      <x:c r="Q73" s="24" t="str">
        <x:v>https://github.com/zhipijun1996/gunman-rush/blob/26e7f2a4459623f35613a857da8a75e89daa3e62/scripts/combat/weapon_definition.gd</x:v>
      </x:c>
    </x:row>
    <x:row r="74" ht="43" customHeight="1">
      <x:c r="A74" s="24" t="n">
        <x:v>69</x:v>
      </x:c>
      <x:c r="B74" s="24" t="str">
        <x:v>G05</x:v>
      </x:c>
      <x:c r="C74" s="24" t="str">
        <x:v>永恒钟卫</x:v>
      </x:c>
      <x:c r="D74" s="24" t="str">
        <x:v>金色</x:v>
      </x:c>
      <x:c r="E74" s="24" t="str">
        <x:v>第7批</x:v>
      </x:c>
      <x:c r="F74" s="24" t="str">
        <x:v>保留</x:v>
      </x:c>
      <x:c r="G74" s="24" t="n">
        <x:v>5</x:v>
      </x:c>
      <x:c r="H74" s="24" t="n">
        <x:v>5</x:v>
      </x:c>
      <x:c r="I74" s="24" t="n">
        <x:v>160</x:v>
      </x:c>
      <x:c r="J74" s="24" t="n">
        <x:v>92</x:v>
      </x:c>
      <x:c r="K74" s="24" t="n">
        <x:v>1</x:v>
      </x:c>
      <x:c r="L74" s="24" t="str">
        <x:v>是</x:v>
      </x:c>
      <x:c r="M74" s="24" t="str">
        <x:v>已根据用户确认机制整理，并补充V5建议数值</x:v>
      </x:c>
      <x:c r="N74" s="24" t="str">
        <x:v>主动消耗50战斗共鸣召唤1台大型钟卫；持续18秒、攻击间隔1.8秒、每击0.60D，CD12秒，同场最多1台。</x:v>
      </x:c>
      <x:c r="O74" s="24" t="str">
        <x:v>仅一台大型钟卫，一次18秒、每1.8秒0.6D，50共鸣消耗较高，92金。</x:v>
      </x:c>
      <x:c r="P74" s="24" t="str">
        <x:v>机制定稿/平衡建议待验</x:v>
      </x:c>
      <x:c r="Q74" s="24" t="str">
        <x:v>https://github.com/zhipijun1996/gunman-rush/blob/26e7f2a4459623f35613a857da8a75e89daa3e62/scripts/resources/state/combat_energy_state.gd</x:v>
      </x:c>
    </x:row>
    <x:row r="75" ht="43" customHeight="1">
      <x:c r="A75" s="24" t="n">
        <x:v>70</x:v>
      </x:c>
      <x:c r="B75" s="24" t="str">
        <x:v>G06</x:v>
      </x:c>
      <x:c r="C75" s="24" t="str">
        <x:v>千鸣钟冠</x:v>
      </x:c>
      <x:c r="D75" s="24" t="str">
        <x:v>金色</x:v>
      </x:c>
      <x:c r="E75" s="24" t="str">
        <x:v>第7批</x:v>
      </x:c>
      <x:c r="F75" s="24" t="str">
        <x:v>保留</x:v>
      </x:c>
      <x:c r="G75" s="24" t="n">
        <x:v>3</x:v>
      </x:c>
      <x:c r="H75" s="24" t="n">
        <x:v>3</x:v>
      </x:c>
      <x:c r="I75" s="24" t="n">
        <x:v>145</x:v>
      </x:c>
      <x:c r="J75" s="24" t="n">
        <x:v>83</x:v>
      </x:c>
      <x:c r="K75" s="24" t="n">
        <x:v>1</x:v>
      </x:c>
      <x:c r="L75" s="24" t="str">
        <x:v>是</x:v>
      </x:c>
      <x:c r="M75" s="24" t="str">
        <x:v>已根据用户确认机制整理，并补充V5建议数值</x:v>
      </x:c>
      <x:c r="N75" s="24" t="str">
        <x:v>合法主攻命中最多弹射3个额外目标，每个0.25D；1.5秒CD、不再产生战斗能量。</x:v>
      </x:c>
      <x:c r="O75" s="24" t="str">
        <x:v>被动3目标各0.25D链伤、1.5秒CD，高性价比但只对群怪，有Boss短板。</x:v>
      </x:c>
      <x:c r="P75" s="24" t="str">
        <x:v>机制定稿/平衡建议待验</x:v>
      </x:c>
      <x:c r="Q75" s="24" t="str">
        <x:v>https://github.com/zhipijun1996/gunman-rush/blob/26e7f2a4459623f35613a857da8a75e89daa3e62/scripts/combat/weapon_definition.gd</x:v>
      </x:c>
    </x:row>
    <x:row r="76" ht="43" customHeight="1">
      <x:c r="A76" s="24" t="n">
        <x:v>71</x:v>
      </x:c>
      <x:c r="B76" s="24" t="str">
        <x:v>B01</x:v>
      </x:c>
      <x:c r="C76" s="24" t="str">
        <x:v>拾铃磁盘</x:v>
      </x:c>
      <x:c r="D76" s="24" t="str">
        <x:v>蓝色</x:v>
      </x:c>
      <x:c r="E76" s="24" t="str">
        <x:v>第8批</x:v>
      </x:c>
      <x:c r="F76" s="24" t="str">
        <x:v>修改</x:v>
      </x:c>
      <x:c r="G76" s="24" t="n">
        <x:v>1</x:v>
      </x:c>
      <x:c r="H76" s="24" t="n">
        <x:v>1</x:v>
      </x:c>
      <x:c r="I76" s="24" t="n">
        <x:v>24</x:v>
      </x:c>
      <x:c r="J76" s="24" t="n">
        <x:v>24</x:v>
      </x:c>
      <x:c r="K76" s="24" t="n">
        <x:v>1</x:v>
      </x:c>
      <x:c r="L76" s="24" t="str">
        <x:v>是</x:v>
      </x:c>
      <x:c r="M76" s="24" t="str">
        <x:v>已根据用户确认机制整理，并补充V5建议数值</x:v>
      </x:c>
      <x:c r="N76" s="24" t="str">
        <x:v>自动吸取半径200内可拾取的金币、永久音符、地面回血与能量资源；不自动领取道具、宝箱或商店货物。</x:v>
      </x:c>
      <x:c r="O76" s="24" t="str">
        <x:v>只减操作不增资源；1槽便捷性高，现有大地图有拾取路线，维持低价。</x:v>
      </x:c>
      <x:c r="P76" s="24" t="str">
        <x:v>机制定稿/平衡建议待验</x:v>
      </x:c>
      <x:c r="Q76" s="24" t="str">
        <x:v>https://github.com/zhipijun1996/gunman-rush/blob/26e7f2a4459623f35613a857da8a75e89daa3e62/scripts/generation/plains_region_generator.gd</x:v>
      </x:c>
    </x:row>
    <x:row r="77" ht="43" customHeight="1">
      <x:c r="A77" s="24" t="n">
        <x:v>72</x:v>
      </x:c>
      <x:c r="B77" s="24" t="str">
        <x:v>B02</x:v>
      </x:c>
      <x:c r="C77" s="24" t="str">
        <x:v>迷途分针</x:v>
      </x:c>
      <x:c r="D77" s="24" t="str">
        <x:v>蓝色</x:v>
      </x:c>
      <x:c r="E77" s="24" t="str">
        <x:v>第8批</x:v>
      </x:c>
      <x:c r="F77" s="24" t="str">
        <x:v>删除</x:v>
      </x:c>
      <x:c r="G77" s="24" t="n">
        <x:v>1</x:v>
      </x:c>
      <x:c r="H77" s="24" t="str"/>
      <x:c r="I77" s="24" t="n">
        <x:v>20</x:v>
      </x:c>
      <x:c r="J77" s="24" t="str"/>
      <x:c r="K77" s="24" t="str"/>
      <x:c r="L77" s="24" t="str">
        <x:v>否</x:v>
      </x:c>
      <x:c r="M77" s="24" t="str">
        <x:v>用户明确删除，保留历史以便追溯</x:v>
      </x:c>
      <x:c r="N77" s="24" t="str">
        <x:v>已移出奖励、商店和联动有效池</x:v>
      </x:c>
      <x:c r="O77" s="24" t="str">
        <x:v>无需继续做价格平衡</x:v>
      </x:c>
      <x:c r="P77" s="24" t="str">
        <x:v>已删除</x:v>
      </x:c>
      <x:c r="Q77" s="24" t="str">
        <x:v>https://github.com/zhipijun1996/gunman-rush/blob/26e7f2a4459623f35613a857da8a75e89daa3e62/scripts/combat/weapon_definition.gd</x:v>
      </x:c>
    </x:row>
    <x:row r="78" ht="43" customHeight="1">
      <x:c r="A78" s="24" t="n">
        <x:v>73</x:v>
      </x:c>
      <x:c r="B78" s="24" t="str">
        <x:v>B16</x:v>
      </x:c>
      <x:c r="C78" s="24" t="str">
        <x:v>裂纹钱袋</x:v>
      </x:c>
      <x:c r="D78" s="24" t="str">
        <x:v>蓝色</x:v>
      </x:c>
      <x:c r="E78" s="24" t="str">
        <x:v>第8批</x:v>
      </x:c>
      <x:c r="F78" s="24" t="str">
        <x:v>修改</x:v>
      </x:c>
      <x:c r="G78" s="24" t="n">
        <x:v>2</x:v>
      </x:c>
      <x:c r="H78" s="24" t="n">
        <x:v>2</x:v>
      </x:c>
      <x:c r="I78" s="24" t="n">
        <x:v>35</x:v>
      </x:c>
      <x:c r="J78" s="24" t="n">
        <x:v>23</x:v>
      </x:c>
      <x:c r="K78" s="24" t="n">
        <x:v>1</x:v>
      </x:c>
      <x:c r="L78" s="24" t="str">
        <x:v>是</x:v>
      </x:c>
      <x:c r="M78" s="24" t="str">
        <x:v>已根据用户确认机制整理，并补充V5建议数值</x:v>
      </x:c>
      <x:c r="N78" s="24" t="str">
        <x:v>本图前8次合法击杀各+1金币；装备期间累计受到3次HP伤害损坏，商店支付20金币修复。</x:v>
      </x:c>
      <x:c r="O78" s="24" t="str">
        <x:v>每图最多赚8金币，跨图可能回本慢；35原价过贵，降至23且修复20。</x:v>
      </x:c>
      <x:c r="P78" s="24" t="str">
        <x:v>机制定稿/平衡建议待验</x:v>
      </x:c>
      <x:c r="Q78" s="24" t="str">
        <x:v>https://github.com/zhipijun1996/gunman-rush/blob/26e7f2a4459623f35613a857da8a75e89daa3e62/scripts/generation/plains_region_generator.gd</x:v>
      </x:c>
    </x:row>
    <x:row r="79" ht="43" customHeight="1">
      <x:c r="A79" s="24" t="n">
        <x:v>74</x:v>
      </x:c>
      <x:c r="B79" s="24" t="str">
        <x:v>B20</x:v>
      </x:c>
      <x:c r="C79" s="24" t="str">
        <x:v>盗铃钩齿</x:v>
      </x:c>
      <x:c r="D79" s="24" t="str">
        <x:v>蓝色</x:v>
      </x:c>
      <x:c r="E79" s="24" t="str">
        <x:v>第8批</x:v>
      </x:c>
      <x:c r="F79" s="24" t="str">
        <x:v>保留</x:v>
      </x:c>
      <x:c r="G79" s="24" t="n">
        <x:v>2</x:v>
      </x:c>
      <x:c r="H79" s="24" t="n">
        <x:v>2</x:v>
      </x:c>
      <x:c r="I79" s="24" t="n">
        <x:v>36</x:v>
      </x:c>
      <x:c r="J79" s="24" t="n">
        <x:v>28</x:v>
      </x:c>
      <x:c r="K79" s="24" t="n">
        <x:v>1</x:v>
      </x:c>
      <x:c r="L79" s="24" t="str">
        <x:v>是</x:v>
      </x:c>
      <x:c r="M79" s="24" t="str">
        <x:v>已根据用户确认机制整理，并补充V5建议数值</x:v>
      </x:c>
      <x:c r="N79" s="24" t="str">
        <x:v>获得1金币</x:v>
      </x:c>
      <x:c r="O79" s="24" t="str">
        <x:v>钩索主动攻击每敌人首次+1金币、单图封顶10，早买才有价值，降价。</x:v>
      </x:c>
      <x:c r="P79" s="24" t="str">
        <x:v>机制定稿/平衡建议待验</x:v>
      </x:c>
      <x:c r="Q79" s="24" t="str">
        <x:v>https://github.com/zhipijun1996/gunman-rush/blob/26e7f2a4459623f35613a857da8a75e89daa3e62/scripts/generation/plains_region_generator.gd</x:v>
      </x:c>
    </x:row>
    <x:row r="80" ht="43" customHeight="1">
      <x:c r="A80" s="24" t="n">
        <x:v>75</x:v>
      </x:c>
      <x:c r="B80" s="24" t="str">
        <x:v>P39</x:v>
      </x:c>
      <x:c r="C80" s="24" t="str">
        <x:v>盗贼旧誓</x:v>
      </x:c>
      <x:c r="D80" s="24" t="str">
        <x:v>紫色</x:v>
      </x:c>
      <x:c r="E80" s="24" t="str">
        <x:v>第8批</x:v>
      </x:c>
      <x:c r="F80" s="24" t="str">
        <x:v>修改</x:v>
      </x:c>
      <x:c r="G80" s="24" t="n">
        <x:v>2</x:v>
      </x:c>
      <x:c r="H80" s="24" t="n">
        <x:v>2</x:v>
      </x:c>
      <x:c r="I80" s="24" t="n">
        <x:v>66</x:v>
      </x:c>
      <x:c r="J80" s="24" t="n">
        <x:v>18</x:v>
      </x:c>
      <x:c r="K80" s="24" t="n">
        <x:v>1</x:v>
      </x:c>
      <x:c r="L80" s="24" t="str">
        <x:v>是</x:v>
      </x:c>
      <x:c r="M80" s="24" t="str">
        <x:v>已根据用户确认机制整理，并补充V5建议数值</x:v>
      </x:c>
      <x:c r="N80" s="24" t="str">
        <x:v>合法击杀所得局内金币×1.25，受伤不扣金币；整数金币采用结余累计，不影响宝箱/退款。</x:v>
      </x:c>
      <x:c r="O80" s="24" t="str">
        <x:v>仅击杀金币+25%，平均赚够18金需72枚基础击杀金币，建议仅早期奖励投放。</x:v>
      </x:c>
      <x:c r="P80" s="24" t="str">
        <x:v>机制定稿/平衡建议待验</x:v>
      </x:c>
      <x:c r="Q80" s="24" t="str">
        <x:v>https://github.com/zhipijun1996/gunman-rush/blob/26e7f2a4459623f35613a857da8a75e89daa3e62/scripts/generation/plains_region_generator.gd</x:v>
      </x:c>
    </x:row>
    <x:row r="81" ht="43" customHeight="1">
      <x:c r="A81" s="24" t="n">
        <x:v>76</x:v>
      </x:c>
      <x:c r="B81" s="24" t="str">
        <x:v>G10</x:v>
      </x:c>
      <x:c r="C81" s="24" t="str">
        <x:v>不朽钱袋</x:v>
      </x:c>
      <x:c r="D81" s="24" t="str">
        <x:v>金色</x:v>
      </x:c>
      <x:c r="E81" s="24" t="str">
        <x:v>第8批</x:v>
      </x:c>
      <x:c r="F81" s="24" t="str">
        <x:v>保留</x:v>
      </x:c>
      <x:c r="G81" s="24" t="n">
        <x:v>1</x:v>
      </x:c>
      <x:c r="H81" s="24" t="n">
        <x:v>1</x:v>
      </x:c>
      <x:c r="I81" s="24" t="n">
        <x:v>120</x:v>
      </x:c>
      <x:c r="J81" s="24" t="n">
        <x:v>63</x:v>
      </x:c>
      <x:c r="K81" s="24" t="n">
        <x:v>1</x:v>
      </x:c>
      <x:c r="L81" s="24" t="str">
        <x:v>是</x:v>
      </x:c>
      <x:c r="M81" s="24" t="str">
        <x:v>已根据用户确认机制整理，并补充V5建议数值</x:v>
      </x:c>
      <x:c r="N81" s="24" t="str">
        <x:v>每图首次6次有效击杀额外各+2金币，最多12金币。</x:v>
      </x:c>
      <x:c r="O81" s="24" t="str">
        <x:v>每张地图最多12额外金币、两图24；原价120无法回本，建议63但仍偏后期奖励。</x:v>
      </x:c>
      <x:c r="P81" s="24" t="str">
        <x:v>机制定稿/平衡建议待验</x:v>
      </x:c>
      <x:c r="Q81" s="24" t="str">
        <x:v>https://github.com/zhipijun1996/gunman-rush/blob/26e7f2a4459623f35613a857da8a75e89daa3e62/scripts/generation/plains_region_generator.gd</x:v>
      </x:c>
    </x:row>
    <x:row r="82" ht="43" customHeight="1">
      <x:c r="A82" s="24" t="n">
        <x:v>77</x:v>
      </x:c>
      <x:c r="B82" s="24" t="str">
        <x:v>G12</x:v>
      </x:c>
      <x:c r="C82" s="24" t="str">
        <x:v>错位命运骰</x:v>
      </x:c>
      <x:c r="D82" s="24" t="str">
        <x:v>金色</x:v>
      </x:c>
      <x:c r="E82" s="24" t="str">
        <x:v>第8批</x:v>
      </x:c>
      <x:c r="F82" s="24" t="str">
        <x:v>保留</x:v>
      </x:c>
      <x:c r="G82" s="24" t="n">
        <x:v>1</x:v>
      </x:c>
      <x:c r="H82" s="24" t="n">
        <x:v>1</x:v>
      </x:c>
      <x:c r="I82" s="24" t="n">
        <x:v>110</x:v>
      </x:c>
      <x:c r="J82" s="24" t="n">
        <x:v>74</x:v>
      </x:c>
      <x:c r="K82" s="24" t="n">
        <x:v>1</x:v>
      </x:c>
      <x:c r="L82" s="24" t="str">
        <x:v>是</x:v>
      </x:c>
      <x:c r="M82" s="24" t="str">
        <x:v>已根据用户确认机制整理，并补充V5建议数值</x:v>
      </x:c>
      <x:c r="N82" s="24" t="str">
        <x:v>首次商店刷新免费；蓝色概率−14百分点、紫色+10、金色+4，总概率仍100%。</x:v>
      </x:c>
      <x:c r="O82" s="24" t="str">
        <x:v>更高紫金概率只在商店刷新生效；没有多商品正式商店时收益很低，建议74。</x:v>
      </x:c>
      <x:c r="P82" s="24" t="str">
        <x:v>机制定稿/平衡建议待验</x:v>
      </x:c>
      <x:c r="Q82" s="24" t="str">
        <x:v>https://github.com/zhipijun1996/gunman-rush/blob/26e7f2a4459623f35613a857da8a75e89daa3e62/scripts/generation/plains_region_generator.gd</x:v>
      </x:c>
    </x:row>
    <x:row r="83" ht="43" customHeight="1">
      <x:c r="A83" s="24" t="n">
        <x:v>78</x:v>
      </x:c>
      <x:c r="B83" s="24" t="str">
        <x:v>G13</x:v>
      </x:c>
      <x:c r="C83" s="24" t="str">
        <x:v>金币鸣炮</x:v>
      </x:c>
      <x:c r="D83" s="24" t="str">
        <x:v>金色</x:v>
      </x:c>
      <x:c r="E83" s="24" t="str">
        <x:v>第8批</x:v>
      </x:c>
      <x:c r="F83" s="24" t="str">
        <x:v>删除</x:v>
      </x:c>
      <x:c r="G83" s="24" t="n">
        <x:v>4</x:v>
      </x:c>
      <x:c r="H83" s="24" t="str"/>
      <x:c r="I83" s="24" t="n">
        <x:v>150</x:v>
      </x:c>
      <x:c r="J83" s="24" t="str"/>
      <x:c r="K83" s="24" t="str"/>
      <x:c r="L83" s="24" t="str">
        <x:v>否</x:v>
      </x:c>
      <x:c r="M83" s="24" t="str">
        <x:v>用户明确删除，保留历史以便追溯</x:v>
      </x:c>
      <x:c r="N83" s="24" t="str">
        <x:v>已移出奖励、商店和联动有效池</x:v>
      </x:c>
      <x:c r="O83" s="24" t="str">
        <x:v>无需继续做价格平衡</x:v>
      </x:c>
      <x:c r="P83" s="24" t="str">
        <x:v>已删除</x:v>
      </x:c>
      <x:c r="Q83" s="24" t="str">
        <x:v>https://github.com/zhipijun1996/gunman-rush/blob/26e7f2a4459623f35613a857da8a75e89daa3e62/scripts/resources/state/combat_energy_state.gd</x:v>
      </x:c>
    </x:row>
    <x:row r="84" ht="43" customHeight="1">
      <x:c r="A84" s="24" t="n">
        <x:v>79</x:v>
      </x:c>
      <x:c r="B84" s="24" t="str">
        <x:v>G07</x:v>
      </x:c>
      <x:c r="C84" s="24" t="str">
        <x:v>王钟残辉</x:v>
      </x:c>
      <x:c r="D84" s="24" t="str">
        <x:v>金色</x:v>
      </x:c>
      <x:c r="E84" s="24" t="str">
        <x:v>第8批</x:v>
      </x:c>
      <x:c r="F84" s="24" t="str">
        <x:v>保留</x:v>
      </x:c>
      <x:c r="G84" s="24" t="n">
        <x:v>5</x:v>
      </x:c>
      <x:c r="H84" s="24" t="n">
        <x:v>2</x:v>
      </x:c>
      <x:c r="I84" s="24" t="n">
        <x:v>115</x:v>
      </x:c>
      <x:c r="J84" s="24" t="n">
        <x:v>68</x:v>
      </x:c>
      <x:c r="K84" s="24" t="n">
        <x:v>1</x:v>
      </x:c>
      <x:c r="L84" s="24" t="str">
        <x:v>是</x:v>
      </x:c>
      <x:c r="M84" s="24" t="str">
        <x:v>已根据用户确认机制整理，并补充V5建议数值</x:v>
      </x:c>
      <x:c r="N84" s="24" t="str">
        <x:v>每秒自然恢复2共鸣，本图恢复总计至多20</x:v>
      </x:c>
      <x:c r="O84" s="24" t="str">
        <x:v>原5槽每图最多20共鸣极差；改2槽仍受脱战6秒与20点预算限制。</x:v>
      </x:c>
      <x:c r="P84" s="24" t="str">
        <x:v>机制定稿/平衡建议待验</x:v>
      </x:c>
      <x:c r="Q84" s="24" t="str">
        <x:v>https://github.com/zhipijun1996/gunman-rush/blob/26e7f2a4459623f35613a857da8a75e89daa3e62/scripts/resources/state/combat_energy_state.gd</x:v>
      </x:c>
    </x:row>
    <x:row r="85" ht="43" customHeight="1">
      <x:c r="A85" s="24" t="n">
        <x:v>80</x:v>
      </x:c>
      <x:c r="B85" s="24" t="str">
        <x:v>G08</x:v>
      </x:c>
      <x:c r="C85" s="24" t="str">
        <x:v>空白钟芯</x:v>
      </x:c>
      <x:c r="D85" s="24" t="str">
        <x:v>金色</x:v>
      </x:c>
      <x:c r="E85" s="24" t="str">
        <x:v>第8批</x:v>
      </x:c>
      <x:c r="F85" s="24" t="str">
        <x:v>保留</x:v>
      </x:c>
      <x:c r="G85" s="24" t="n">
        <x:v>1</x:v>
      </x:c>
      <x:c r="H85" s="24" t="n">
        <x:v>1</x:v>
      </x:c>
      <x:c r="I85" s="24" t="n">
        <x:v>130</x:v>
      </x:c>
      <x:c r="J85" s="24" t="n">
        <x:v>70</x:v>
      </x:c>
      <x:c r="K85" s="24" t="n">
        <x:v>1</x:v>
      </x:c>
      <x:c r="L85" s="24" t="str">
        <x:v>是</x:v>
      </x:c>
      <x:c r="M85" s="24" t="str">
        <x:v>已根据用户确认机制整理，并补充V5建议数值</x:v>
      </x:c>
      <x:c r="N85" s="24" t="str">
        <x:v>伴机优先攻击追索标记目标，首次副伤×1.30。</x:v>
      </x:c>
      <x:c r="O85" s="24" t="str">
        <x:v>只有同时具召唤物和标记才生效，严格前置，1槽适合组合零件。</x:v>
      </x:c>
      <x:c r="P85" s="24" t="str">
        <x:v>机制定稿/平衡建议待验</x:v>
      </x:c>
      <x:c r="Q85" s="24" t="str">
        <x:v>https://github.com/zhipijun1996/gunman-rush/blob/26e7f2a4459623f35613a857da8a75e89daa3e62/scripts/combat/weapon_definition.gd</x:v>
      </x:c>
    </x:row>
    <x:row r="86" ht="43" customHeight="1">
      <x:c r="A86" s="24" t="n">
        <x:v>81</x:v>
      </x:c>
      <x:c r="B86" s="24" t="str">
        <x:v>B17</x:v>
      </x:c>
      <x:c r="C86" s="24" t="str">
        <x:v>裂纹强击栓</x:v>
      </x:c>
      <x:c r="D86" s="24" t="str">
        <x:v>蓝色</x:v>
      </x:c>
      <x:c r="E86" s="24" t="str">
        <x:v>第9批</x:v>
      </x:c>
      <x:c r="F86" s="24" t="str">
        <x:v>修改</x:v>
      </x:c>
      <x:c r="G86" s="24" t="n">
        <x:v>3</x:v>
      </x:c>
      <x:c r="H86" s="24" t="n">
        <x:v>3</x:v>
      </x:c>
      <x:c r="I86" s="24" t="n">
        <x:v>39</x:v>
      </x:c>
      <x:c r="J86" s="24" t="n">
        <x:v>38</x:v>
      </x:c>
      <x:c r="K86" s="24" t="n">
        <x:v>1</x:v>
      </x:c>
      <x:c r="L86" s="24" t="str">
        <x:v>是</x:v>
      </x:c>
      <x:c r="M86" s="24" t="str">
        <x:v>已根据用户确认机制整理，并补充V5建议数值</x:v>
      </x:c>
      <x:c r="N86" s="24" t="str">
        <x:v>主武器基础直接伤害×1.50；装备期间累计3次真实HP伤害后损坏，商店可付26金币修复。</x:v>
      </x:c>
      <x:c r="O86" s="24" t="str">
        <x:v>有累计3次HP损伤破碎的重大代价；+50%直伤应明显强于永久+32%满级枪管。</x:v>
      </x:c>
      <x:c r="P86" s="24" t="str">
        <x:v>机制定稿/平衡建议待验</x:v>
      </x:c>
      <x:c r="Q86" s="24" t="str">
        <x:v>https://github.com/zhipijun1996/gunman-rush/blob/26e7f2a4459623f35613a857da8a75e89daa3e62/scripts/combat/weapon_definition.gd</x:v>
      </x:c>
    </x:row>
    <x:row r="87" ht="43" customHeight="1">
      <x:c r="A87" s="24" t="n">
        <x:v>82</x:v>
      </x:c>
      <x:c r="B87" s="24" t="str">
        <x:v>G09</x:v>
      </x:c>
      <x:c r="C87" s="24" t="str">
        <x:v>不朽强击栓</x:v>
      </x:c>
      <x:c r="D87" s="24" t="str">
        <x:v>金色</x:v>
      </x:c>
      <x:c r="E87" s="24" t="str">
        <x:v>第9批</x:v>
      </x:c>
      <x:c r="F87" s="24" t="str">
        <x:v>删除</x:v>
      </x:c>
      <x:c r="G87" s="24" t="n">
        <x:v>2</x:v>
      </x:c>
      <x:c r="H87" s="24" t="str"/>
      <x:c r="I87" s="24" t="n">
        <x:v>130</x:v>
      </x:c>
      <x:c r="J87" s="24" t="str"/>
      <x:c r="K87" s="24" t="str"/>
      <x:c r="L87" s="24" t="str">
        <x:v>否</x:v>
      </x:c>
      <x:c r="M87" s="24" t="str">
        <x:v>用户明确删除，保留历史以便追溯</x:v>
      </x:c>
      <x:c r="N87" s="24" t="str">
        <x:v>已移出奖励、商店和联动有效池</x:v>
      </x:c>
      <x:c r="O87" s="24" t="str">
        <x:v>无需继续做价格平衡</x:v>
      </x:c>
      <x:c r="P87" s="24" t="str">
        <x:v>已删除</x:v>
      </x:c>
      <x:c r="Q87" s="24" t="str">
        <x:v>https://github.com/zhipijun1996/gunman-rush/blob/26e7f2a4459623f35613a857da8a75e89daa3e62/scripts/combat/weapon_definition.gd</x:v>
      </x:c>
    </x:row>
    <x:row r="88" ht="43" customHeight="1">
      <x:c r="A88" s="24" t="n">
        <x:v>83</x:v>
      </x:c>
      <x:c r="B88" s="24" t="str">
        <x:v>G17</x:v>
      </x:c>
      <x:c r="C88" s="24" t="str">
        <x:v>金纹回响匣</x:v>
      </x:c>
      <x:c r="D88" s="24" t="str">
        <x:v>金色</x:v>
      </x:c>
      <x:c r="E88" s="24" t="str">
        <x:v>第9批</x:v>
      </x:c>
      <x:c r="F88" s="24" t="str">
        <x:v>删除</x:v>
      </x:c>
      <x:c r="G88" s="24" t="n">
        <x:v>1</x:v>
      </x:c>
      <x:c r="H88" s="24" t="str"/>
      <x:c r="I88" s="24" t="n">
        <x:v>135</x:v>
      </x:c>
      <x:c r="J88" s="24" t="str"/>
      <x:c r="K88" s="24" t="str"/>
      <x:c r="L88" s="24" t="str">
        <x:v>否</x:v>
      </x:c>
      <x:c r="M88" s="24" t="str">
        <x:v>用户明确删除，保留历史以便追溯</x:v>
      </x:c>
      <x:c r="N88" s="24" t="str">
        <x:v>已移出奖励、商店和联动有效池</x:v>
      </x:c>
      <x:c r="O88" s="24" t="str">
        <x:v>无需继续做价格平衡</x:v>
      </x:c>
      <x:c r="P88" s="24" t="str">
        <x:v>已删除</x:v>
      </x:c>
      <x:c r="Q88" s="24" t="str">
        <x:v>https://github.com/zhipijun1996/gunman-rush/blob/26e7f2a4459623f35613a857da8a75e89daa3e62/resources/player/demo_ui_01/time_energy_v2.tres</x:v>
      </x:c>
    </x:row>
    <x:row r="89" ht="43" customHeight="1">
      <x:c r="A89" s="24" t="n">
        <x:v>84</x:v>
      </x:c>
      <x:c r="B89" s="24" t="str">
        <x:v>P24</x:v>
      </x:c>
      <x:c r="C89" s="24" t="str">
        <x:v>回环飞轮</x:v>
      </x:c>
      <x:c r="D89" s="24" t="str">
        <x:v>紫色</x:v>
      </x:c>
      <x:c r="E89" s="24" t="str">
        <x:v>第9批</x:v>
      </x:c>
      <x:c r="F89" s="24" t="str">
        <x:v>保留</x:v>
      </x:c>
      <x:c r="G89" s="24" t="n">
        <x:v>3</x:v>
      </x:c>
      <x:c r="H89" s="24" t="n">
        <x:v>3</x:v>
      </x:c>
      <x:c r="I89" s="24" t="n">
        <x:v>76</x:v>
      </x:c>
      <x:c r="J89" s="24" t="n">
        <x:v>47</x:v>
      </x:c>
      <x:c r="K89" s="24" t="n">
        <x:v>1</x:v>
      </x:c>
      <x:c r="L89" s="24" t="str">
        <x:v>是</x:v>
      </x:c>
      <x:c r="M89" s="24" t="str">
        <x:v>已根据用户确认机制整理，并补充V5建议数值</x:v>
      </x:c>
      <x:c r="N89" s="24" t="str">
        <x:v>消耗35战斗能量抛出往返飞轮，总直伤预算1.40D；12秒冷却。</x:v>
      </x:c>
      <x:c r="O89" s="24" t="str">
        <x:v>工具飞轮与回旋武器有重叠，但作为共鸣技能独立可用，降价。</x:v>
      </x:c>
      <x:c r="P89" s="24" t="str">
        <x:v>机制定稿/平衡建议待验</x:v>
      </x:c>
      <x:c r="Q89" s="24" t="str">
        <x:v>https://github.com/zhipijun1996/gunman-rush/blob/26e7f2a4459623f35613a857da8a75e89daa3e62/scripts/resources/state/combat_energy_state.gd</x:v>
      </x:c>
    </x:row>
    <x:row r="90" ht="43" customHeight="1">
      <x:c r="A90" s="24" t="n">
        <x:v>85</x:v>
      </x:c>
      <x:c r="B90" s="24" t="str">
        <x:v>P25</x:v>
      </x:c>
      <x:c r="C90" s="24" t="str">
        <x:v>落地针雷</x:v>
      </x:c>
      <x:c r="D90" s="24" t="str">
        <x:v>紫色</x:v>
      </x:c>
      <x:c r="E90" s="24" t="str">
        <x:v>第9批</x:v>
      </x:c>
      <x:c r="F90" s="24" t="str">
        <x:v>保留</x:v>
      </x:c>
      <x:c r="G90" s="24" t="n">
        <x:v>2</x:v>
      </x:c>
      <x:c r="H90" s="24" t="n">
        <x:v>2</x:v>
      </x:c>
      <x:c r="I90" s="24" t="n">
        <x:v>63</x:v>
      </x:c>
      <x:c r="J90" s="24" t="n">
        <x:v>48</x:v>
      </x:c>
      <x:c r="K90" s="24" t="n">
        <x:v>1</x:v>
      </x:c>
      <x:c r="L90" s="24" t="str">
        <x:v>是</x:v>
      </x:c>
      <x:c r="M90" s="24" t="str">
        <x:v>已根据用户确认机制整理，并补充V5建议数值</x:v>
      </x:c>
      <x:c r="N90" s="24" t="str">
        <x:v>消耗35战斗能量放置脚下合法地面针雷，最多2枚，10秒冷却。</x:v>
      </x:c>
      <x:c r="O90" s="24" t="str">
        <x:v>地面陷阱+0.9D，35共鸣成本高且布置要求，48金合理。</x:v>
      </x:c>
      <x:c r="P90" s="24" t="str">
        <x:v>机制定稿/平衡建议待验</x:v>
      </x:c>
      <x:c r="Q90" s="24" t="str">
        <x:v>https://github.com/zhipijun1996/gunman-rush/blob/26e7f2a4459623f35613a857da8a75e89daa3e62/scripts/resources/state/combat_energy_state.gd</x:v>
      </x:c>
    </x:row>
    <x:row r="91" ht="43" customHeight="1">
      <x:c r="A91" s="24" t="n">
        <x:v>86</x:v>
      </x:c>
      <x:c r="B91" s="24" t="str">
        <x:v>G14</x:v>
      </x:c>
      <x:c r="C91" s="24" t="str">
        <x:v>飞雷钟樽</x:v>
      </x:c>
      <x:c r="D91" s="24" t="str">
        <x:v>金色</x:v>
      </x:c>
      <x:c r="E91" s="24" t="str">
        <x:v>第9批</x:v>
      </x:c>
      <x:c r="F91" s="24" t="str">
        <x:v>修改</x:v>
      </x:c>
      <x:c r="G91" s="24" t="n">
        <x:v>2</x:v>
      </x:c>
      <x:c r="H91" s="24" t="n">
        <x:v>2</x:v>
      </x:c>
      <x:c r="I91" s="24" t="n">
        <x:v>155</x:v>
      </x:c>
      <x:c r="J91" s="24" t="n">
        <x:v>85</x:v>
      </x:c>
      <x:c r="K91" s="24" t="n">
        <x:v>1</x:v>
      </x:c>
      <x:c r="L91" s="24" t="str">
        <x:v>是</x:v>
      </x:c>
      <x:c r="M91" s="24" t="str">
        <x:v>已根据用户确认机制整理，并补充V5建议数值</x:v>
      </x:c>
      <x:c r="N91" s="24" t="str">
        <x:v>仅保留投掷模式：主动消耗45点共鸣，投掷电弧雷樽，触敌或到达有效距离爆发1.30D电伤，再链到附近最多2名敌人各0.35D；CD14秒。</x:v>
      </x:c>
      <x:c r="O91" s="24" t="str">
        <x:v>取消固定模式，仅投掷连锁电雷；45共鸣1.30D+两次0.35D，既有炸弹武器不需双态。</x:v>
      </x:c>
      <x:c r="P91" s="24" t="str">
        <x:v>机制定稿/平衡建议待验</x:v>
      </x:c>
      <x:c r="Q91" s="24" t="str">
        <x:v>https://github.com/zhipijun1996/gunman-rush/blob/26e7f2a4459623f35613a857da8a75e89daa3e62/scripts/resources/state/combat_energy_state.gd</x:v>
      </x:c>
    </x:row>
    <x:row r="92" ht="43" customHeight="1">
      <x:c r="A92" s="24" t="n">
        <x:v>87</x:v>
      </x:c>
      <x:c r="B92" s="24" t="str">
        <x:v>G15</x:v>
      </x:c>
      <x:c r="C92" s="24" t="str">
        <x:v>双响投架</x:v>
      </x:c>
      <x:c r="D92" s="24" t="str">
        <x:v>金色</x:v>
      </x:c>
      <x:c r="E92" s="24" t="str">
        <x:v>第9批</x:v>
      </x:c>
      <x:c r="F92" s="24" t="str">
        <x:v>保留</x:v>
      </x:c>
      <x:c r="G92" s="24" t="n">
        <x:v>2</x:v>
      </x:c>
      <x:c r="H92" s="24" t="n">
        <x:v>2</x:v>
      </x:c>
      <x:c r="I92" s="24" t="n">
        <x:v>135</x:v>
      </x:c>
      <x:c r="J92" s="24" t="n">
        <x:v>80</x:v>
      </x:c>
      <x:c r="K92" s="24" t="n">
        <x:v>1</x:v>
      </x:c>
      <x:c r="L92" s="24" t="str">
        <x:v>是</x:v>
      </x:c>
      <x:c r="M92" s="24" t="str">
        <x:v>已根据用户确认机制整理，并补充V5建议数值</x:v>
      </x:c>
      <x:c r="N92" s="24" t="str">
        <x:v>投射工具分裂为两发，合计直伤预算×1.15；不会翻倍战斗产能。</x:v>
      </x:c>
      <x:c r="O92" s="24" t="str">
        <x:v>投射技能双发合计×1.15而不是×2总伤；2槽组合型特殊机制，80金币。</x:v>
      </x:c>
      <x:c r="P92" s="24" t="str">
        <x:v>机制定稿/平衡建议待验</x:v>
      </x:c>
      <x:c r="Q92" s="24" t="str">
        <x:v>https://github.com/zhipijun1996/gunman-rush/blob/26e7f2a4459623f35613a857da8a75e89daa3e62/scripts/combat/weapon_definition.gd</x:v>
      </x:c>
    </x:row>
    <x:row r="93" ht="43" customHeight="1">
      <x:c r="A93" s="24" t="n">
        <x:v>88</x:v>
      </x:c>
      <x:c r="B93" s="24" t="str">
        <x:v>G16</x:v>
      </x:c>
      <x:c r="C93" s="24" t="str">
        <x:v>钟匠裁决</x:v>
      </x:c>
      <x:c r="D93" s="24" t="str">
        <x:v>金色</x:v>
      </x:c>
      <x:c r="E93" s="24" t="str">
        <x:v>第9批</x:v>
      </x:c>
      <x:c r="F93" s="24" t="str">
        <x:v>保留</x:v>
      </x:c>
      <x:c r="G93" s="24" t="n">
        <x:v>5</x:v>
      </x:c>
      <x:c r="H93" s="24" t="n">
        <x:v>4</x:v>
      </x:c>
      <x:c r="I93" s="24" t="n">
        <x:v>170</x:v>
      </x:c>
      <x:c r="J93" s="24" t="n">
        <x:v>91</x:v>
      </x:c>
      <x:c r="K93" s="24" t="n">
        <x:v>1</x:v>
      </x:c>
      <x:c r="L93" s="24" t="str">
        <x:v>是</x:v>
      </x:c>
      <x:c r="M93" s="24" t="str">
        <x:v>已根据用户确认机制整理，并补充V5建议数值</x:v>
      </x:c>
      <x:c r="N93" s="24" t="str">
        <x:v>消耗65战斗能量释放3段钟波，各0.60D；使用同一技能攻击包。</x:v>
      </x:c>
      <x:c r="O93" s="24" t="str">
        <x:v>65共鸣消耗曾只1.8D输出太低；建议3段×0.9D=2.7D、4槽更合理。</x:v>
      </x:c>
      <x:c r="P93" s="24" t="str">
        <x:v>机制定稿/平衡建议待验</x:v>
      </x:c>
      <x:c r="Q93" s="24" t="str">
        <x:v>https://github.com/zhipijun1996/gunman-rush/blob/26e7f2a4459623f35613a857da8a75e89daa3e62/scripts/resources/state/combat_energy_state.gd</x:v>
      </x:c>
    </x:row>
    <x:row r="94" ht="43" customHeight="1">
      <x:c r="A94" s="24" t="n">
        <x:v>89</x:v>
      </x:c>
      <x:c r="B94" s="24" t="str">
        <x:v>P35</x:v>
      </x:c>
      <x:c r="C94" s="24" t="str">
        <x:v>预奏调速盘</x:v>
      </x:c>
      <x:c r="D94" s="24" t="str">
        <x:v>紫色</x:v>
      </x:c>
      <x:c r="E94" s="24" t="str">
        <x:v>第9批</x:v>
      </x:c>
      <x:c r="F94" s="24" t="str">
        <x:v>删除</x:v>
      </x:c>
      <x:c r="G94" s="24" t="n">
        <x:v>2</x:v>
      </x:c>
      <x:c r="H94" s="24" t="str"/>
      <x:c r="I94" s="24" t="n">
        <x:v>61</x:v>
      </x:c>
      <x:c r="J94" s="24" t="str"/>
      <x:c r="K94" s="24" t="str"/>
      <x:c r="L94" s="24" t="str">
        <x:v>否</x:v>
      </x:c>
      <x:c r="M94" s="24" t="str">
        <x:v>用户明确删除，保留历史以便追溯</x:v>
      </x:c>
      <x:c r="N94" s="24" t="str">
        <x:v>已移出奖励、商店和联动有效池</x:v>
      </x:c>
      <x:c r="O94" s="24" t="str">
        <x:v>无需继续做价格平衡</x:v>
      </x:c>
      <x:c r="P94" s="24" t="str">
        <x:v>已删除</x:v>
      </x:c>
      <x:c r="Q94" s="24" t="str">
        <x:v>https://github.com/zhipijun1996/gunman-rush/blob/26e7f2a4459623f35613a857da8a75e89daa3e62/scripts/combat/weapon_definition.gd</x:v>
      </x:c>
    </x:row>
    <x:row r="95" ht="43" customHeight="1">
      <x:c r="A95" s="24" t="n">
        <x:v>90</x:v>
      </x:c>
      <x:c r="B95" s="24" t="str">
        <x:v>P36</x:v>
      </x:c>
      <x:c r="C95" s="24" t="str">
        <x:v>深鸣聚能芯</x:v>
      </x:c>
      <x:c r="D95" s="24" t="str">
        <x:v>紫色</x:v>
      </x:c>
      <x:c r="E95" s="24" t="str">
        <x:v>第9批</x:v>
      </x:c>
      <x:c r="F95" s="24" t="str">
        <x:v>删除</x:v>
      </x:c>
      <x:c r="G95" s="24" t="n">
        <x:v>4</x:v>
      </x:c>
      <x:c r="H95" s="24" t="str"/>
      <x:c r="I95" s="24" t="n">
        <x:v>78</x:v>
      </x:c>
      <x:c r="J95" s="24" t="str"/>
      <x:c r="K95" s="24" t="str"/>
      <x:c r="L95" s="24" t="str">
        <x:v>否</x:v>
      </x:c>
      <x:c r="M95" s="24" t="str">
        <x:v>用户明确删除，保留历史以便追溯</x:v>
      </x:c>
      <x:c r="N95" s="24" t="str">
        <x:v>已移出奖励、商店和联动有效池</x:v>
      </x:c>
      <x:c r="O95" s="24" t="str">
        <x:v>无需继续做价格平衡</x:v>
      </x:c>
      <x:c r="P95" s="24" t="str">
        <x:v>已删除</x:v>
      </x:c>
      <x:c r="Q95" s="24" t="str">
        <x:v>https://github.com/zhipijun1996/gunman-rush/blob/26e7f2a4459623f35613a857da8a75e89daa3e62/scripts/combat/weapon_definition.gd</x:v>
      </x:c>
    </x:row>
    <x:row r="96" ht="43" customHeight="1">
      <x:c r="A96" s="24" t="n">
        <x:v>91</x:v>
      </x:c>
      <x:c r="B96" s="24" t="str">
        <x:v>G19</x:v>
      </x:c>
      <x:c r="C96" s="24" t="str">
        <x:v>灰铃侍钟机</x:v>
      </x:c>
      <x:c r="D96" s="24" t="str">
        <x:v>金色</x:v>
      </x:c>
      <x:c r="E96" s="24" t="str">
        <x:v>第9批</x:v>
      </x:c>
      <x:c r="F96" s="24" t="str">
        <x:v>保留</x:v>
      </x:c>
      <x:c r="G96" s="24" t="n">
        <x:v>4</x:v>
      </x:c>
      <x:c r="H96" s="24" t="n">
        <x:v>4</x:v>
      </x:c>
      <x:c r="I96" s="24" t="n">
        <x:v>157</x:v>
      </x:c>
      <x:c r="J96" s="24" t="n">
        <x:v>89</x:v>
      </x:c>
      <x:c r="K96" s="24" t="n">
        <x:v>1</x:v>
      </x:c>
      <x:c r="L96" s="24" t="str">
        <x:v>是</x:v>
      </x:c>
      <x:c r="M96" s="24" t="str">
        <x:v>已根据用户确认机制整理，并补充V5建议数值</x:v>
      </x:c>
      <x:c r="N96" s="24" t="str">
        <x:v>常驻1台成长型灰铃侍钟无人机；每2.5秒攻击0.30D，击败精英可进化2次，各自相对基础增伤20%；卸装进度保留。</x:v>
      </x:c>
      <x:c r="O96" s="24" t="str">
        <x:v>进化前0.30D/2.5秒极弱但持续免费输出，培养需精英数量，建议89金币。</x:v>
      </x:c>
      <x:c r="P96" s="24" t="str">
        <x:v>机制定稿/平衡建议待验</x:v>
      </x:c>
      <x:c r="Q96" s="24" t="str">
        <x:v>https://github.com/zhipijun1996/gunman-rush/blob/26e7f2a4459623f35613a857da8a75e89daa3e62/scripts/combat/weapon_definition.gd</x:v>
      </x:c>
    </x:row>
    <x:row r="97" ht="43" customHeight="1">
      <x:c r="A97" s="24" t="str">
        <x:v>新增</x:v>
      </x:c>
      <x:c r="B97" s="24" t="str">
        <x:v>N01</x:v>
      </x:c>
      <x:c r="C97" s="24" t="str">
        <x:v>迟暮钟摆</x:v>
      </x:c>
      <x:c r="D97" s="24" t="str">
        <x:v>紫色</x:v>
      </x:c>
      <x:c r="E97" s="24" t="str">
        <x:v>追加</x:v>
      </x:c>
      <x:c r="F97" s="24" t="str">
        <x:v>新增候选</x:v>
      </x:c>
      <x:c r="G97" s="24" t="str"/>
      <x:c r="H97" s="24" t="n">
        <x:v>2</x:v>
      </x:c>
      <x:c r="I97" s="24" t="str"/>
      <x:c r="J97" s="24" t="n">
        <x:v>49</x:v>
      </x:c>
      <x:c r="K97" s="24" t="n">
        <x:v>3</x:v>
      </x:c>
      <x:c r="L97" s="24" t="str">
        <x:v>是</x:v>
      </x:c>
      <x:c r="M97" s="24" t="str">
        <x:v>单独新增，待最终确认</x:v>
      </x:c>
      <x:c r="N97" s="24" t="str">
        <x:v>空中瞄准慢时世界倍率Lv1/2/3为12%/10%/8%，时间能量消耗与2秒预算不变；满血时由满月枪歌0%优先生效。</x:v>
      </x:c>
      <x:c r="O97" s="24" t="str">
        <x:v>慢时15%→12/10/8%只加强反应窗口，仍按45时间能耗；与满血0%停止互斥优先。</x:v>
      </x:c>
      <x:c r="P97" s="24" t="str">
        <x:v>待验证</x:v>
      </x:c>
      <x:c r="Q97" s="24" t="str">
        <x:v>https://github.com/zhipijun1996/gunman-rush</x:v>
      </x:c>
    </x:row>
    <x:row r="98" ht="43" customHeight="1">
      <x:c r="A98" s="24" t="str">
        <x:v>新增</x:v>
      </x:c>
      <x:c r="B98" s="24" t="str">
        <x:v>N02</x:v>
      </x:c>
      <x:c r="C98" s="24" t="str">
        <x:v>余鸣护甲</x:v>
      </x:c>
      <x:c r="D98" s="24" t="str">
        <x:v>紫色</x:v>
      </x:c>
      <x:c r="E98" s="24" t="str">
        <x:v>追加</x:v>
      </x:c>
      <x:c r="F98" s="24" t="str">
        <x:v>新增候选</x:v>
      </x:c>
      <x:c r="G98" s="24" t="str"/>
      <x:c r="H98" s="24" t="n">
        <x:v>2</x:v>
      </x:c>
      <x:c r="I98" s="24" t="str"/>
      <x:c r="J98" s="24" t="n">
        <x:v>52</x:v>
      </x:c>
      <x:c r="K98" s="24" t="n">
        <x:v>1</x:v>
      </x:c>
      <x:c r="L98" s="24" t="str">
        <x:v>是</x:v>
      </x:c>
      <x:c r="M98" s="24" t="str">
        <x:v>单独新增，待最终确认</x:v>
      </x:c>
      <x:c r="N98" s="24" t="str">
        <x:v>主动支付50战斗共鸣，获得最多2点临时护盾；每张地图最多成功释放1次，共享护盾总上限3。</x:v>
      </x:c>
      <x:c r="O98" s="24" t="str">
        <x:v>每图一次50共鸣换2护盾，强于多数普通回血但受上限3和触发限制。</x:v>
      </x:c>
      <x:c r="P98" s="24" t="str">
        <x:v>待验证</x:v>
      </x:c>
      <x:c r="Q98" s="24" t="str">
        <x:v>https://github.com/zhipijun1996/gunman-rush</x:v>
      </x:c>
    </x:row>
  </x:sheetData>
  <x:mergeCells>
    <x:mergeCell ref="A1:Q1"/>
    <x:mergeCell ref="A2:Q2"/>
  </x:mergeCells>
  <x:conditionalFormatting sqref="P6:P98">
    <x:cfRule type="expression" dxfId="3" priority="1">
      <x:formula>$P6="已删除"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8e42595749437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1" hidden="0" customWidth="1"/>
    <x:col min="4" max="4" width="12" hidden="0" customWidth="1"/>
    <x:col min="5" max="5" width="46" hidden="0" customWidth="1"/>
    <x:col min="6" max="6" width="12" hidden="0" customWidth="1"/>
    <x:col min="7" max="7" width="20" hidden="0" customWidth="1"/>
    <x:col min="8" max="8" width="20" hidden="0" customWidth="1"/>
    <x:col min="9" max="9" width="17" hidden="0" customWidth="1"/>
    <x:col min="10" max="10" width="22" hidden="0" customWidth="1"/>
    <x:col min="11" max="11" width="17" hidden="0" customWidth="1"/>
    <x:col min="12" max="12" width="65" hidden="0" customWidth="1"/>
    <x:col min="13" max="13" width="30" hidden="0" customWidth="1"/>
    <x:col min="14" max="14" width="44" hidden="0" customWidth="1"/>
  </x:cols>
  <x:sheetData>
    <x:row r="1" ht="33" customHeight="1">
      <x:c r="A1" s="4" t="str">
        <x:v>失序之钟 | 原子化平衡参数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每一行是一项独立参数或一个等级；H列直接可编辑。V4原值与V5建议分列，游戏内效果未自动同步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10" customHeight="1"/>
    <x:row r="5" ht="31" customHeight="1">
      <x:c r="A5" s="19" t="str">
        <x:v>道具ID</x:v>
      </x:c>
      <x:c r="B5" s="19" t="str">
        <x:v>道具名称</x:v>
      </x:c>
      <x:c r="C5" s="19" t="str">
        <x:v>稀有度</x:v>
      </x:c>
      <x:c r="D5" s="19" t="str">
        <x:v>评审序号</x:v>
      </x:c>
      <x:c r="E5" s="19" t="str">
        <x:v>参数键</x:v>
      </x:c>
      <x:c r="F5" s="19" t="str">
        <x:v>适用Lv</x:v>
      </x:c>
      <x:c r="G5" s="19" t="str">
        <x:v>V4原参数值</x:v>
      </x:c>
      <x:c r="H5" s="19" t="str">
        <x:v>V5建议值(编辑)</x:v>
      </x:c>
      <x:c r="I5" s="19" t="str">
        <x:v>单位/类型</x:v>
      </x:c>
      <x:c r="J5" s="19" t="str">
        <x:v>评审机制确认</x:v>
      </x:c>
      <x:c r="K5" s="19" t="str">
        <x:v>变动说明</x:v>
      </x:c>
      <x:c r="L5" s="19" t="str">
        <x:v>平衡依据</x:v>
      </x:c>
      <x:c r="M5" s="19" t="str">
        <x:v>实现状态</x:v>
      </x:c>
      <x:c r="N5" s="19" t="str">
        <x:v>代码/配置参考</x:v>
      </x:c>
    </x:row>
    <x:row r="6" ht="40" customHeight="1">
      <x:c r="A6" s="24" t="str">
        <x:v>B03</x:v>
      </x:c>
      <x:c r="B6" s="24" t="str">
        <x:v>薄暮枪管</x:v>
      </x:c>
      <x:c r="C6" s="24" t="str">
        <x:v>蓝色</x:v>
      </x:c>
      <x:c r="D6" s="24" t="n">
        <x:v>1</x:v>
      </x:c>
      <x:c r="E6" s="24" t="str">
        <x:v>primary_damage_multiplier_by_level</x:v>
      </x:c>
      <x:c r="F6" s="24" t="n">
        <x:v>1</x:v>
      </x:c>
      <x:c r="G6" s="24" t="n">
        <x:v>1.2</x:v>
      </x:c>
      <x:c r="H6" s="42" t="n">
        <x:v>1.12</x:v>
      </x:c>
      <x:c r="I6" s="24" t="str">
        <x:v>倍率</x:v>
      </x:c>
      <x:c r="J6" s="24" t="str">
        <x:v>机制确认/数值待试玩</x:v>
      </x:c>
      <x:c r="K6" s="24" t="str">
        <x:v>变更/新增</x:v>
      </x:c>
      <x:c r="L6" s="24" t="str">
        <x:v>最易用的通用增伤，三级+32%靠重复获得；价格略降以鼓励成套构筑。</x:v>
      </x:c>
      <x:c r="M6" s="24" t="str">
        <x:v>策划建议，尚未写入Godot</x:v>
      </x:c>
      <x:c r="N6" s="24" t="str">
        <x:v>https://github.com/zhipijun1996/gunman-rush/blob/26e7f2a4459623f35613a857da8a75e89daa3e62/scripts/combat/weapon_definition.gd</x:v>
      </x:c>
    </x:row>
    <x:row r="7" ht="40" customHeight="1">
      <x:c r="A7" s="24" t="str">
        <x:v>B03</x:v>
      </x:c>
      <x:c r="B7" s="24" t="str">
        <x:v>薄暮枪管</x:v>
      </x:c>
      <x:c r="C7" s="24" t="str">
        <x:v>蓝色</x:v>
      </x:c>
      <x:c r="D7" s="24" t="n">
        <x:v>1</x:v>
      </x:c>
      <x:c r="E7" s="24" t="str">
        <x:v>primary_damage_multiplier_by_level</x:v>
      </x:c>
      <x:c r="F7" s="24" t="n">
        <x:v>2</x:v>
      </x:c>
      <x:c r="G7" s="24" t="n">
        <x:v>1.2</x:v>
      </x:c>
      <x:c r="H7" s="42" t="n">
        <x:v>1.22</x:v>
      </x:c>
      <x:c r="I7" s="24" t="str">
        <x:v>倍率</x:v>
      </x:c>
      <x:c r="J7" s="24" t="str">
        <x:v>机制确认/数值待试玩</x:v>
      </x:c>
      <x:c r="K7" s="24" t="str">
        <x:v>变更/新增</x:v>
      </x:c>
      <x:c r="L7" s="24" t="str">
        <x:v>最易用的通用增伤，三级+32%靠重复获得；价格略降以鼓励成套构筑。</x:v>
      </x:c>
      <x:c r="M7" s="24" t="str">
        <x:v>策划建议，尚未写入Godot</x:v>
      </x:c>
      <x:c r="N7" s="24" t="str">
        <x:v>https://github.com/zhipijun1996/gunman-rush/blob/26e7f2a4459623f35613a857da8a75e89daa3e62/scripts/combat/weapon_definition.gd</x:v>
      </x:c>
    </x:row>
    <x:row r="8" ht="40" customHeight="1">
      <x:c r="A8" s="24" t="str">
        <x:v>B03</x:v>
      </x:c>
      <x:c r="B8" s="24" t="str">
        <x:v>薄暮枪管</x:v>
      </x:c>
      <x:c r="C8" s="24" t="str">
        <x:v>蓝色</x:v>
      </x:c>
      <x:c r="D8" s="24" t="n">
        <x:v>1</x:v>
      </x:c>
      <x:c r="E8" s="24" t="str">
        <x:v>primary_damage_multiplier_by_level</x:v>
      </x:c>
      <x:c r="F8" s="24" t="n">
        <x:v>3</x:v>
      </x:c>
      <x:c r="G8" s="24" t="n">
        <x:v>1.2</x:v>
      </x:c>
      <x:c r="H8" s="42" t="n">
        <x:v>1.32</x:v>
      </x:c>
      <x:c r="I8" s="24" t="str">
        <x:v>倍率</x:v>
      </x:c>
      <x:c r="J8" s="24" t="str">
        <x:v>机制确认/数值待试玩</x:v>
      </x:c>
      <x:c r="K8" s="24" t="str">
        <x:v>变更/新增</x:v>
      </x:c>
      <x:c r="L8" s="24" t="str">
        <x:v>最易用的通用增伤，三级+32%靠重复获得；价格略降以鼓励成套构筑。</x:v>
      </x:c>
      <x:c r="M8" s="24" t="str">
        <x:v>策划建议，尚未写入Godot</x:v>
      </x:c>
      <x:c r="N8" s="24" t="str">
        <x:v>https://github.com/zhipijun1996/gunman-rush/blob/26e7f2a4459623f35613a857da8a75e89daa3e62/scripts/combat/weapon_definition.gd</x:v>
      </x:c>
    </x:row>
    <x:row r="9" ht="40" customHeight="1">
      <x:c r="A9" s="24" t="str">
        <x:v>B05</x:v>
      </x:c>
      <x:c r="B9" s="24" t="str">
        <x:v>疾鸣撞针</x:v>
      </x:c>
      <x:c r="C9" s="24" t="str">
        <x:v>蓝色</x:v>
      </x:c>
      <x:c r="D9" s="24" t="n">
        <x:v>2</x:v>
      </x:c>
      <x:c r="E9" s="24" t="str">
        <x:v>primary_cooldown_multiplier</x:v>
      </x:c>
      <x:c r="F9" s="24" t="str">
        <x:v>通用</x:v>
      </x:c>
      <x:c r="G9" s="24" t="n">
        <x:v>0.88</x:v>
      </x:c>
      <x:c r="H9" s="42" t="n">
        <x:v>0.88</x:v>
      </x:c>
      <x:c r="I9" s="24" t="str">
        <x:v>倍率</x:v>
      </x:c>
      <x:c r="J9" s="24" t="str">
        <x:v>机制确认/数值待试玩</x:v>
      </x:c>
      <x:c r="K9" s="24" t="str">
        <x:v>沿用</x:v>
      </x:c>
      <x:c r="L9" s="24" t="str">
        <x:v>伤害频率受0.25秒冷却与空中1发资格限制；改为25金更匹配实际收益。</x:v>
      </x:c>
      <x:c r="M9" s="24" t="str">
        <x:v>策划建议，尚未写入Godot</x:v>
      </x:c>
      <x:c r="N9" s="24" t="str">
        <x:v>https://github.com/zhipijun1996/gunman-rush/blob/26e7f2a4459623f35613a857da8a75e89daa3e62/scripts/combat/weapon_definition.gd</x:v>
      </x:c>
    </x:row>
    <x:row r="10" ht="40" customHeight="1">
      <x:c r="A10" s="24" t="str">
        <x:v>B22</x:v>
      </x:c>
      <x:c r="B10" s="24" t="str">
        <x:v>扩震钟环</x:v>
      </x:c>
      <x:c r="C10" s="24" t="str">
        <x:v>蓝色</x:v>
      </x:c>
      <x:c r="D10" s="24" t="n">
        <x:v>3</x:v>
      </x:c>
      <x:c r="E10" s="24" t="str">
        <x:v>bomb_explosion_radius_multiplier_by_level</x:v>
      </x:c>
      <x:c r="F10" s="24" t="n">
        <x:v>1</x:v>
      </x:c>
      <x:c r="G10" s="24" t="str"/>
      <x:c r="H10" s="42" t="n">
        <x:v>1.12</x:v>
      </x:c>
      <x:c r="I10" s="24" t="str">
        <x:v>倍率</x:v>
      </x:c>
      <x:c r="J10" s="24" t="str">
        <x:v>机制确认/数值待试玩</x:v>
      </x:c>
      <x:c r="K10" s="24" t="str">
        <x:v>变更/新增</x:v>
      </x:c>
      <x:c r="L10" s="24" t="str">
        <x:v>三种炸弹共用，Lv3半径+28%范围面积约+64%，容易过强；保留不增伤。</x:v>
      </x:c>
      <x:c r="M10" s="24" t="str">
        <x:v>策划建议，尚未写入Godot</x:v>
      </x:c>
      <x:c r="N10" s="24" t="str">
        <x:v>https://github.com/zhipijun1996/gunman-rush/blob/26e7f2a4459623f35613a857da8a75e89daa3e62/scripts/combat/weapon_definition.gd</x:v>
      </x:c>
    </x:row>
    <x:row r="11" ht="40" customHeight="1">
      <x:c r="A11" s="24" t="str">
        <x:v>B22</x:v>
      </x:c>
      <x:c r="B11" s="24" t="str">
        <x:v>扩震钟环</x:v>
      </x:c>
      <x:c r="C11" s="24" t="str">
        <x:v>蓝色</x:v>
      </x:c>
      <x:c r="D11" s="24" t="n">
        <x:v>3</x:v>
      </x:c>
      <x:c r="E11" s="24" t="str">
        <x:v>bomb_explosion_radius_multiplier_by_level</x:v>
      </x:c>
      <x:c r="F11" s="24" t="n">
        <x:v>2</x:v>
      </x:c>
      <x:c r="G11" s="24" t="str"/>
      <x:c r="H11" s="42" t="n">
        <x:v>1.2</x:v>
      </x:c>
      <x:c r="I11" s="24" t="str">
        <x:v>倍率</x:v>
      </x:c>
      <x:c r="J11" s="24" t="str">
        <x:v>机制确认/数值待试玩</x:v>
      </x:c>
      <x:c r="K11" s="24" t="str">
        <x:v>变更/新增</x:v>
      </x:c>
      <x:c r="L11" s="24" t="str">
        <x:v>三种炸弹共用，Lv3半径+28%范围面积约+64%，容易过强；保留不增伤。</x:v>
      </x:c>
      <x:c r="M11" s="24" t="str">
        <x:v>策划建议，尚未写入Godot</x:v>
      </x:c>
      <x:c r="N11" s="24" t="str">
        <x:v>https://github.com/zhipijun1996/gunman-rush/blob/26e7f2a4459623f35613a857da8a75e89daa3e62/scripts/combat/weapon_definition.gd</x:v>
      </x:c>
    </x:row>
    <x:row r="12" ht="40" customHeight="1">
      <x:c r="A12" s="24" t="str">
        <x:v>B22</x:v>
      </x:c>
      <x:c r="B12" s="24" t="str">
        <x:v>扩震钟环</x:v>
      </x:c>
      <x:c r="C12" s="24" t="str">
        <x:v>蓝色</x:v>
      </x:c>
      <x:c r="D12" s="24" t="n">
        <x:v>3</x:v>
      </x:c>
      <x:c r="E12" s="24" t="str">
        <x:v>bomb_explosion_radius_multiplier_by_level</x:v>
      </x:c>
      <x:c r="F12" s="24" t="n">
        <x:v>3</x:v>
      </x:c>
      <x:c r="G12" s="24" t="str"/>
      <x:c r="H12" s="42" t="n">
        <x:v>1.28</x:v>
      </x:c>
      <x:c r="I12" s="24" t="str">
        <x:v>倍率</x:v>
      </x:c>
      <x:c r="J12" s="24" t="str">
        <x:v>机制确认/数值待试玩</x:v>
      </x:c>
      <x:c r="K12" s="24" t="str">
        <x:v>变更/新增</x:v>
      </x:c>
      <x:c r="L12" s="24" t="str">
        <x:v>三种炸弹共用，Lv3半径+28%范围面积约+64%，容易过强；保留不增伤。</x:v>
      </x:c>
      <x:c r="M12" s="24" t="str">
        <x:v>策划建议，尚未写入Godot</x:v>
      </x:c>
      <x:c r="N12" s="24" t="str">
        <x:v>https://github.com/zhipijun1996/gunman-rush/blob/26e7f2a4459623f35613a857da8a75e89daa3e62/scripts/combat/weapon_definition.gd</x:v>
      </x:c>
    </x:row>
    <x:row r="13" ht="40" customHeight="1">
      <x:c r="A13" s="24" t="str">
        <x:v>B22</x:v>
      </x:c>
      <x:c r="B13" s="24" t="str">
        <x:v>扩震钟环</x:v>
      </x:c>
      <x:c r="C13" s="24" t="str">
        <x:v>蓝色</x:v>
      </x:c>
      <x:c r="D13" s="24" t="n">
        <x:v>3</x:v>
      </x:c>
      <x:c r="E13" s="24" t="str">
        <x:v>weapon_family</x:v>
      </x:c>
      <x:c r="F13" s="24" t="str">
        <x:v>通用</x:v>
      </x:c>
      <x:c r="G13" s="24" t="str"/>
      <x:c r="H13" s="42" t="str">
        <x:v>BOMB</x:v>
      </x:c>
      <x:c r="I13" s="24" t="str">
        <x:v>计数/模式</x:v>
      </x:c>
      <x:c r="J13" s="24" t="str">
        <x:v>机制确认/数值待试玩</x:v>
      </x:c>
      <x:c r="K13" s="24" t="str">
        <x:v>变更/新增</x:v>
      </x:c>
      <x:c r="L13" s="24" t="str">
        <x:v>三种炸弹共用，Lv3半径+28%范围面积约+64%，容易过强；保留不增伤。</x:v>
      </x:c>
      <x:c r="M13" s="24" t="str">
        <x:v>策划建议，尚未写入Godot</x:v>
      </x:c>
      <x:c r="N13" s="24" t="str">
        <x:v>https://github.com/zhipijun1996/gunman-rush/blob/26e7f2a4459623f35613a857da8a75e89daa3e62/scripts/combat/weapon_definition.gd</x:v>
      </x:c>
    </x:row>
    <x:row r="14" ht="40" customHeight="1">
      <x:c r="A14" s="24" t="str">
        <x:v>B29</x:v>
      </x:c>
      <x:c r="B14" s="24" t="str">
        <x:v>薄钟长管</x:v>
      </x:c>
      <x:c r="C14" s="24" t="str">
        <x:v>蓝色</x:v>
      </x:c>
      <x:c r="D14" s="24" t="n">
        <x:v>5</x:v>
      </x:c>
      <x:c r="E14" s="24" t="str">
        <x:v>projectile_range_multiplier_by_level</x:v>
      </x:c>
      <x:c r="F14" s="24" t="n">
        <x:v>1</x:v>
      </x:c>
      <x:c r="G14" s="24" t="n">
        <x:v>1.15</x:v>
      </x:c>
      <x:c r="H14" s="42" t="n">
        <x:v>1.2</x:v>
      </x:c>
      <x:c r="I14" s="24" t="str">
        <x:v>倍率</x:v>
      </x:c>
      <x:c r="J14" s="24" t="str">
        <x:v>机制确认/数值待试玩</x:v>
      </x:c>
      <x:c r="K14" s="24" t="str">
        <x:v>变更/新增</x:v>
      </x:c>
      <x:c r="L14" s="24" t="str">
        <x:v>+20/35/50%射程不增移速，1槽才合理；对激光等非弹体模式需筛选。</x:v>
      </x:c>
      <x:c r="M14" s="24" t="str">
        <x:v>策划建议，尚未写入Godot</x:v>
      </x:c>
      <x:c r="N14" s="24" t="str">
        <x:v>https://github.com/zhipijun1996/gunman-rush/blob/26e7f2a4459623f35613a857da8a75e89daa3e62/scripts/combat/weapon_definition.gd</x:v>
      </x:c>
    </x:row>
    <x:row r="15" ht="40" customHeight="1">
      <x:c r="A15" s="24" t="str">
        <x:v>B29</x:v>
      </x:c>
      <x:c r="B15" s="24" t="str">
        <x:v>薄钟长管</x:v>
      </x:c>
      <x:c r="C15" s="24" t="str">
        <x:v>蓝色</x:v>
      </x:c>
      <x:c r="D15" s="24" t="n">
        <x:v>5</x:v>
      </x:c>
      <x:c r="E15" s="24" t="str">
        <x:v>projectile_range_multiplier_by_level</x:v>
      </x:c>
      <x:c r="F15" s="24" t="n">
        <x:v>2</x:v>
      </x:c>
      <x:c r="G15" s="24" t="n">
        <x:v>1.15</x:v>
      </x:c>
      <x:c r="H15" s="42" t="n">
        <x:v>1.35</x:v>
      </x:c>
      <x:c r="I15" s="24" t="str">
        <x:v>倍率</x:v>
      </x:c>
      <x:c r="J15" s="24" t="str">
        <x:v>机制确认/数值待试玩</x:v>
      </x:c>
      <x:c r="K15" s="24" t="str">
        <x:v>变更/新增</x:v>
      </x:c>
      <x:c r="L15" s="24" t="str">
        <x:v>+20/35/50%射程不增移速，1槽才合理；对激光等非弹体模式需筛选。</x:v>
      </x:c>
      <x:c r="M15" s="24" t="str">
        <x:v>策划建议，尚未写入Godot</x:v>
      </x:c>
      <x:c r="N15" s="24" t="str">
        <x:v>https://github.com/zhipijun1996/gunman-rush/blob/26e7f2a4459623f35613a857da8a75e89daa3e62/scripts/combat/weapon_definition.gd</x:v>
      </x:c>
    </x:row>
    <x:row r="16" ht="40" customHeight="1">
      <x:c r="A16" s="24" t="str">
        <x:v>B29</x:v>
      </x:c>
      <x:c r="B16" s="24" t="str">
        <x:v>薄钟长管</x:v>
      </x:c>
      <x:c r="C16" s="24" t="str">
        <x:v>蓝色</x:v>
      </x:c>
      <x:c r="D16" s="24" t="n">
        <x:v>5</x:v>
      </x:c>
      <x:c r="E16" s="24" t="str">
        <x:v>projectile_range_multiplier_by_level</x:v>
      </x:c>
      <x:c r="F16" s="24" t="n">
        <x:v>3</x:v>
      </x:c>
      <x:c r="G16" s="24" t="n">
        <x:v>1.15</x:v>
      </x:c>
      <x:c r="H16" s="42" t="n">
        <x:v>1.5</x:v>
      </x:c>
      <x:c r="I16" s="24" t="str">
        <x:v>倍率</x:v>
      </x:c>
      <x:c r="J16" s="24" t="str">
        <x:v>机制确认/数值待试玩</x:v>
      </x:c>
      <x:c r="K16" s="24" t="str">
        <x:v>变更/新增</x:v>
      </x:c>
      <x:c r="L16" s="24" t="str">
        <x:v>+20/35/50%射程不增移速，1槽才合理；对激光等非弹体模式需筛选。</x:v>
      </x:c>
      <x:c r="M16" s="24" t="str">
        <x:v>策划建议，尚未写入Godot</x:v>
      </x:c>
      <x:c r="N16" s="24" t="str">
        <x:v>https://github.com/zhipijun1996/gunman-rush/blob/26e7f2a4459623f35613a857da8a75e89daa3e62/scripts/combat/weapon_definition.gd</x:v>
      </x:c>
    </x:row>
    <x:row r="17" ht="40" customHeight="1">
      <x:c r="A17" s="24" t="str">
        <x:v>B31</x:v>
      </x:c>
      <x:c r="B17" s="24" t="str">
        <x:v>敲钟重锤</x:v>
      </x:c>
      <x:c r="C17" s="24" t="str">
        <x:v>蓝色</x:v>
      </x:c>
      <x:c r="D17" s="24" t="n">
        <x:v>6</x:v>
      </x:c>
      <x:c r="E17" s="24" t="str">
        <x:v>enemy_stagger_multiplier</x:v>
      </x:c>
      <x:c r="F17" s="24" t="str">
        <x:v>通用</x:v>
      </x:c>
      <x:c r="G17" s="24" t="n">
        <x:v>1.3</x:v>
      </x:c>
      <x:c r="H17" s="42" t="n">
        <x:v>1.3</x:v>
      </x:c>
      <x:c r="I17" s="24" t="str">
        <x:v>倍率</x:v>
      </x:c>
      <x:c r="J17" s="24" t="str">
        <x:v>机制确认/数值待试玩</x:v>
      </x:c>
      <x:c r="K17" s="24" t="str">
        <x:v>沿用</x:v>
      </x:c>
      <x:c r="L17" s="24" t="str">
        <x:v>控制类道具不直接提升Boss输出，只对可硬直普通怪有效，29金。</x:v>
      </x:c>
      <x:c r="M17" s="24" t="str">
        <x:v>策划建议，尚未写入Godot</x:v>
      </x:c>
      <x:c r="N17" s="24" t="str">
        <x:v>https://github.com/zhipijun1996/gunman-rush/blob/26e7f2a4459623f35613a857da8a75e89daa3e62/scripts/combat/weapon_definition.gd</x:v>
      </x:c>
    </x:row>
    <x:row r="18" ht="40" customHeight="1">
      <x:c r="A18" s="24" t="str">
        <x:v>P03</x:v>
      </x:c>
      <x:c r="B18" s="24" t="str">
        <x:v>术式增幅石</x:v>
      </x:c>
      <x:c r="C18" s="24" t="str">
        <x:v>紫色</x:v>
      </x:c>
      <x:c r="D18" s="24" t="n">
        <x:v>7</x:v>
      </x:c>
      <x:c r="E18" s="24" t="str">
        <x:v>lv3_skill_damage_multiplier_by_level</x:v>
      </x:c>
      <x:c r="F18" s="24" t="n">
        <x:v>1</x:v>
      </x:c>
      <x:c r="G18" s="24" t="n">
        <x:v>1.18</x:v>
      </x:c>
      <x:c r="H18" s="42" t="n">
        <x:v>1.2</x:v>
      </x:c>
      <x:c r="I18" s="24" t="str">
        <x:v>倍率</x:v>
      </x:c>
      <x:c r="J18" s="24" t="str">
        <x:v>机制确认/数值待试玩</x:v>
      </x:c>
      <x:c r="K18" s="24" t="str">
        <x:v>变更/新增</x:v>
      </x:c>
      <x:c r="L18" s="24" t="str">
        <x:v>Lv3前置强，对所有Lv3主动直伤+20/30/40%，价格54、3槽；位移不强化。</x:v>
      </x:c>
      <x:c r="M18" s="24" t="str">
        <x:v>策划建议，尚未写入Godot</x:v>
      </x:c>
      <x:c r="N18" s="24" t="str">
        <x:v>https://github.com/zhipijun1996/gunman-rush/blob/26e7f2a4459623f35613a857da8a75e89daa3e62/scripts/resources/state/combat_energy_state.gd</x:v>
      </x:c>
    </x:row>
    <x:row r="19" ht="40" customHeight="1">
      <x:c r="A19" s="24" t="str">
        <x:v>P03</x:v>
      </x:c>
      <x:c r="B19" s="24" t="str">
        <x:v>术式增幅石</x:v>
      </x:c>
      <x:c r="C19" s="24" t="str">
        <x:v>紫色</x:v>
      </x:c>
      <x:c r="D19" s="24" t="n">
        <x:v>7</x:v>
      </x:c>
      <x:c r="E19" s="24" t="str">
        <x:v>lv3_skill_damage_multiplier_by_level</x:v>
      </x:c>
      <x:c r="F19" s="24" t="n">
        <x:v>2</x:v>
      </x:c>
      <x:c r="G19" s="24" t="n">
        <x:v>1.18</x:v>
      </x:c>
      <x:c r="H19" s="42" t="n">
        <x:v>1.3</x:v>
      </x:c>
      <x:c r="I19" s="24" t="str">
        <x:v>倍率</x:v>
      </x:c>
      <x:c r="J19" s="24" t="str">
        <x:v>机制确认/数值待试玩</x:v>
      </x:c>
      <x:c r="K19" s="24" t="str">
        <x:v>变更/新增</x:v>
      </x:c>
      <x:c r="L19" s="24" t="str">
        <x:v>Lv3前置强，对所有Lv3主动直伤+20/30/40%，价格54、3槽；位移不强化。</x:v>
      </x:c>
      <x:c r="M19" s="24" t="str">
        <x:v>策划建议，尚未写入Godot</x:v>
      </x:c>
      <x:c r="N19" s="24" t="str">
        <x:v>https://github.com/zhipijun1996/gunman-rush/blob/26e7f2a4459623f35613a857da8a75e89daa3e62/scripts/resources/state/combat_energy_state.gd</x:v>
      </x:c>
    </x:row>
    <x:row r="20" ht="40" customHeight="1">
      <x:c r="A20" s="24" t="str">
        <x:v>P03</x:v>
      </x:c>
      <x:c r="B20" s="24" t="str">
        <x:v>术式增幅石</x:v>
      </x:c>
      <x:c r="C20" s="24" t="str">
        <x:v>紫色</x:v>
      </x:c>
      <x:c r="D20" s="24" t="n">
        <x:v>7</x:v>
      </x:c>
      <x:c r="E20" s="24" t="str">
        <x:v>lv3_skill_damage_multiplier_by_level</x:v>
      </x:c>
      <x:c r="F20" s="24" t="n">
        <x:v>3</x:v>
      </x:c>
      <x:c r="G20" s="24" t="n">
        <x:v>1.18</x:v>
      </x:c>
      <x:c r="H20" s="42" t="n">
        <x:v>1.4</x:v>
      </x:c>
      <x:c r="I20" s="24" t="str">
        <x:v>倍率</x:v>
      </x:c>
      <x:c r="J20" s="24" t="str">
        <x:v>机制确认/数值待试玩</x:v>
      </x:c>
      <x:c r="K20" s="24" t="str">
        <x:v>变更/新增</x:v>
      </x:c>
      <x:c r="L20" s="24" t="str">
        <x:v>Lv3前置强，对所有Lv3主动直伤+20/30/40%，价格54、3槽；位移不强化。</x:v>
      </x:c>
      <x:c r="M20" s="24" t="str">
        <x:v>策划建议，尚未写入Godot</x:v>
      </x:c>
      <x:c r="N20" s="24" t="str">
        <x:v>https://github.com/zhipijun1996/gunman-rush/blob/26e7f2a4459623f35613a857da8a75e89daa3e62/scripts/resources/state/combat_energy_state.gd</x:v>
      </x:c>
    </x:row>
    <x:row r="21" ht="40" customHeight="1">
      <x:c r="A21" s="24" t="str">
        <x:v>P06</x:v>
      </x:c>
      <x:c r="B21" s="24" t="str">
        <x:v>满月枪歌</x:v>
      </x:c>
      <x:c r="C21" s="24" t="str">
        <x:v>紫色</x:v>
      </x:c>
      <x:c r="D21" s="24" t="n">
        <x:v>8</x:v>
      </x:c>
      <x:c r="E21" s="24" t="str">
        <x:v>requires_full_hp</x:v>
      </x:c>
      <x:c r="F21" s="24" t="str">
        <x:v>通用</x:v>
      </x:c>
      <x:c r="G21" s="24" t="str"/>
      <x:c r="H21" s="42" t="n">
        <x:v>1</x:v>
      </x:c>
      <x:c r="I21" s="24" t="str">
        <x:v>点/HP/金币</x:v>
      </x:c>
      <x:c r="J21" s="24" t="str">
        <x:v>机制确认/数值待试玩</x:v>
      </x:c>
      <x:c r="K21" s="24" t="str">
        <x:v>变更/新增</x:v>
      </x:c>
      <x:c r="L21" s="24" t="str">
        <x:v>满血慢时15%→停止极强但满血条件+45时间能耗限制，保持3槽，售价略提。</x:v>
      </x:c>
      <x:c r="M21" s="24" t="str">
        <x:v>策划建议，尚未写入Godot</x:v>
      </x:c>
      <x:c r="N21" s="24" t="str">
        <x:v>https://github.com/zhipijun1996/gunman-rush/blob/26e7f2a4459623f35613a857da8a75e89daa3e62/scripts/combat/weapon_definition.gd</x:v>
      </x:c>
    </x:row>
    <x:row r="22" ht="40" customHeight="1">
      <x:c r="A22" s="24" t="str">
        <x:v>P06</x:v>
      </x:c>
      <x:c r="B22" s="24" t="str">
        <x:v>满月枪歌</x:v>
      </x:c>
      <x:c r="C22" s="24" t="str">
        <x:v>紫色</x:v>
      </x:c>
      <x:c r="D22" s="24" t="n">
        <x:v>8</x:v>
      </x:c>
      <x:c r="E22" s="24" t="str">
        <x:v>world_time_scale_while_air_aiming</x:v>
      </x:c>
      <x:c r="F22" s="24" t="str">
        <x:v>通用</x:v>
      </x:c>
      <x:c r="G22" s="24" t="str"/>
      <x:c r="H22" s="42" t="n">
        <x:v>0</x:v>
      </x:c>
      <x:c r="I22" s="24" t="str">
        <x:v>倍率</x:v>
      </x:c>
      <x:c r="J22" s="24" t="str">
        <x:v>机制确认/数值待试玩</x:v>
      </x:c>
      <x:c r="K22" s="24" t="str">
        <x:v>变更/新增</x:v>
      </x:c>
      <x:c r="L22" s="24" t="str">
        <x:v>满血慢时15%→停止极强但满血条件+45时间能耗限制，保持3槽，售价略提。</x:v>
      </x:c>
      <x:c r="M22" s="24" t="str">
        <x:v>策划建议，尚未写入Godot</x:v>
      </x:c>
      <x:c r="N22" s="24" t="str">
        <x:v>https://github.com/zhipijun1996/gunman-rush/blob/26e7f2a4459623f35613a857da8a75e89daa3e62/scripts/combat/weapon_definition.gd</x:v>
      </x:c>
    </x:row>
    <x:row r="23" ht="40" customHeight="1">
      <x:c r="A23" s="24" t="str">
        <x:v>P06</x:v>
      </x:c>
      <x:c r="B23" s="24" t="str">
        <x:v>满月枪歌</x:v>
      </x:c>
      <x:c r="C23" s="24" t="str">
        <x:v>紫色</x:v>
      </x:c>
      <x:c r="D23" s="24" t="n">
        <x:v>8</x:v>
      </x:c>
      <x:c r="E23" s="24" t="str">
        <x:v>time_energy_drain_per_real_s</x:v>
      </x:c>
      <x:c r="F23" s="24" t="str">
        <x:v>通用</x:v>
      </x:c>
      <x:c r="G23" s="24" t="str"/>
      <x:c r="H23" s="42" t="n">
        <x:v>45</x:v>
      </x:c>
      <x:c r="I23" s="24" t="str">
        <x:v>点/HP/金币</x:v>
      </x:c>
      <x:c r="J23" s="24" t="str">
        <x:v>机制确认/数值待试玩</x:v>
      </x:c>
      <x:c r="K23" s="24" t="str">
        <x:v>变更/新增</x:v>
      </x:c>
      <x:c r="L23" s="24" t="str">
        <x:v>满血慢时15%→停止极强但满血条件+45时间能耗限制，保持3槽，售价略提。</x:v>
      </x:c>
      <x:c r="M23" s="24" t="str">
        <x:v>策划建议，尚未写入Godot</x:v>
      </x:c>
      <x:c r="N23" s="24" t="str">
        <x:v>https://github.com/zhipijun1996/gunman-rush/blob/26e7f2a4459623f35613a857da8a75e89daa3e62/scripts/combat/weapon_definition.gd</x:v>
      </x:c>
    </x:row>
    <x:row r="24" ht="40" customHeight="1">
      <x:c r="A24" s="24" t="str">
        <x:v>P06</x:v>
      </x:c>
      <x:c r="B24" s="24" t="str">
        <x:v>满月枪歌</x:v>
      </x:c>
      <x:c r="C24" s="24" t="str">
        <x:v>紫色</x:v>
      </x:c>
      <x:c r="D24" s="24" t="n">
        <x:v>8</x:v>
      </x:c>
      <x:c r="E24" s="24" t="str">
        <x:v>airtime_focus_budget_s</x:v>
      </x:c>
      <x:c r="F24" s="24" t="str">
        <x:v>通用</x:v>
      </x:c>
      <x:c r="G24" s="24" t="str"/>
      <x:c r="H24" s="42" t="n">
        <x:v>2</x:v>
      </x:c>
      <x:c r="I24" s="24" t="str">
        <x:v>秒</x:v>
      </x:c>
      <x:c r="J24" s="24" t="str">
        <x:v>机制确认/数值待试玩</x:v>
      </x:c>
      <x:c r="K24" s="24" t="str">
        <x:v>变更/新增</x:v>
      </x:c>
      <x:c r="L24" s="24" t="str">
        <x:v>满血慢时15%→停止极强但满血条件+45时间能耗限制，保持3槽，售价略提。</x:v>
      </x:c>
      <x:c r="M24" s="24" t="str">
        <x:v>策划建议，尚未写入Godot</x:v>
      </x:c>
      <x:c r="N24" s="24" t="str">
        <x:v>https://github.com/zhipijun1996/gunman-rush/blob/26e7f2a4459623f35613a857da8a75e89daa3e62/scripts/combat/weapon_definition.gd</x:v>
      </x:c>
    </x:row>
    <x:row r="25" ht="40" customHeight="1">
      <x:c r="A25" s="24" t="str">
        <x:v>P06</x:v>
      </x:c>
      <x:c r="B25" s="24" t="str">
        <x:v>满月枪歌</x:v>
      </x:c>
      <x:c r="C25" s="24" t="str">
        <x:v>紫色</x:v>
      </x:c>
      <x:c r="D25" s="24" t="n">
        <x:v>8</x:v>
      </x:c>
      <x:c r="E25" s="24" t="str">
        <x:v>level_cap</x:v>
      </x:c>
      <x:c r="F25" s="24" t="str">
        <x:v>通用</x:v>
      </x:c>
      <x:c r="G25" s="24" t="str"/>
      <x:c r="H25" s="42" t="n">
        <x:v>1</x:v>
      </x:c>
      <x:c r="I25" s="24" t="str">
        <x:v>计数/模式</x:v>
      </x:c>
      <x:c r="J25" s="24" t="str">
        <x:v>机制确认/数值待试玩</x:v>
      </x:c>
      <x:c r="K25" s="24" t="str">
        <x:v>变更/新增</x:v>
      </x:c>
      <x:c r="L25" s="24" t="str">
        <x:v>满血慢时15%→停止极强但满血条件+45时间能耗限制，保持3槽，售价略提。</x:v>
      </x:c>
      <x:c r="M25" s="24" t="str">
        <x:v>策划建议，尚未写入Godot</x:v>
      </x:c>
      <x:c r="N25" s="24" t="str">
        <x:v>https://github.com/zhipijun1996/gunman-rush/blob/26e7f2a4459623f35613a857da8a75e89daa3e62/scripts/combat/weapon_definition.gd</x:v>
      </x:c>
    </x:row>
    <x:row r="26" ht="40" customHeight="1">
      <x:c r="A26" s="24" t="str">
        <x:v>P08</x:v>
      </x:c>
      <x:c r="B26" s="24" t="str">
        <x:v>穿响音叉</x:v>
      </x:c>
      <x:c r="C26" s="24" t="str">
        <x:v>紫色</x:v>
      </x:c>
      <x:c r="D26" s="24" t="n">
        <x:v>10</x:v>
      </x:c>
      <x:c r="E26" s="24" t="str">
        <x:v>max_extra_pierce</x:v>
      </x:c>
      <x:c r="F26" s="24" t="str">
        <x:v>通用</x:v>
      </x:c>
      <x:c r="G26" s="24" t="n">
        <x:v>1</x:v>
      </x:c>
      <x:c r="H26" s="42" t="n">
        <x:v>1</x:v>
      </x:c>
      <x:c r="I26" s="24" t="str">
        <x:v>计数/模式</x:v>
      </x:c>
      <x:c r="J26" s="24" t="str">
        <x:v>机制确认/数值待试玩</x:v>
      </x:c>
      <x:c r="K26" s="24" t="str">
        <x:v>沿用</x:v>
      </x:c>
      <x:c r="L26" s="24" t="str">
        <x:v>穿透只能作用于有第二目标的遭遇，不加单体Boss伤害，定价48。</x:v>
      </x:c>
      <x:c r="M26" s="24" t="str">
        <x:v>策划建议，尚未写入Godot</x:v>
      </x:c>
      <x:c r="N26" s="24" t="str">
        <x:v>https://github.com/zhipijun1996/gunman-rush/blob/26e7f2a4459623f35613a857da8a75e89daa3e62/scripts/combat/weapon_definition.gd</x:v>
      </x:c>
    </x:row>
    <x:row r="27" ht="40" customHeight="1">
      <x:c r="A27" s="24" t="str">
        <x:v>P08</x:v>
      </x:c>
      <x:c r="B27" s="24" t="str">
        <x:v>穿响音叉</x:v>
      </x:c>
      <x:c r="C27" s="24" t="str">
        <x:v>紫色</x:v>
      </x:c>
      <x:c r="D27" s="24" t="n">
        <x:v>10</x:v>
      </x:c>
      <x:c r="E27" s="24" t="str">
        <x:v>pierced_damage_ratio_D_by_level</x:v>
      </x:c>
      <x:c r="F27" s="24" t="n">
        <x:v>1</x:v>
      </x:c>
      <x:c r="G27" s="24" t="n">
        <x:v>0.65</x:v>
      </x:c>
      <x:c r="H27" s="42" t="n">
        <x:v>0.65</x:v>
      </x:c>
      <x:c r="I27" s="24" t="str">
        <x:v>倍率</x:v>
      </x:c>
      <x:c r="J27" s="24" t="str">
        <x:v>机制确认/数值待试玩</x:v>
      </x:c>
      <x:c r="K27" s="24" t="str">
        <x:v>沿用</x:v>
      </x:c>
      <x:c r="L27" s="24" t="str">
        <x:v>穿透只能作用于有第二目标的遭遇，不加单体Boss伤害，定价48。</x:v>
      </x:c>
      <x:c r="M27" s="24" t="str">
        <x:v>策划建议，尚未写入Godot</x:v>
      </x:c>
      <x:c r="N27" s="24" t="str">
        <x:v>https://github.com/zhipijun1996/gunman-rush/blob/26e7f2a4459623f35613a857da8a75e89daa3e62/scripts/combat/weapon_definition.gd</x:v>
      </x:c>
    </x:row>
    <x:row r="28" ht="40" customHeight="1">
      <x:c r="A28" s="24" t="str">
        <x:v>P08</x:v>
      </x:c>
      <x:c r="B28" s="24" t="str">
        <x:v>穿响音叉</x:v>
      </x:c>
      <x:c r="C28" s="24" t="str">
        <x:v>紫色</x:v>
      </x:c>
      <x:c r="D28" s="24" t="n">
        <x:v>10</x:v>
      </x:c>
      <x:c r="E28" s="24" t="str">
        <x:v>pierced_damage_ratio_D_by_level</x:v>
      </x:c>
      <x:c r="F28" s="24" t="n">
        <x:v>2</x:v>
      </x:c>
      <x:c r="G28" s="24" t="n">
        <x:v>0.65</x:v>
      </x:c>
      <x:c r="H28" s="42" t="n">
        <x:v>0.8</x:v>
      </x:c>
      <x:c r="I28" s="24" t="str">
        <x:v>倍率</x:v>
      </x:c>
      <x:c r="J28" s="24" t="str">
        <x:v>机制确认/数值待试玩</x:v>
      </x:c>
      <x:c r="K28" s="24" t="str">
        <x:v>变更/新增</x:v>
      </x:c>
      <x:c r="L28" s="24" t="str">
        <x:v>穿透只能作用于有第二目标的遭遇，不加单体Boss伤害，定价48。</x:v>
      </x:c>
      <x:c r="M28" s="24" t="str">
        <x:v>策划建议，尚未写入Godot</x:v>
      </x:c>
      <x:c r="N28" s="24" t="str">
        <x:v>https://github.com/zhipijun1996/gunman-rush/blob/26e7f2a4459623f35613a857da8a75e89daa3e62/scripts/combat/weapon_definition.gd</x:v>
      </x:c>
    </x:row>
    <x:row r="29" ht="40" customHeight="1">
      <x:c r="A29" s="24" t="str">
        <x:v>P08</x:v>
      </x:c>
      <x:c r="B29" s="24" t="str">
        <x:v>穿响音叉</x:v>
      </x:c>
      <x:c r="C29" s="24" t="str">
        <x:v>紫色</x:v>
      </x:c>
      <x:c r="D29" s="24" t="n">
        <x:v>10</x:v>
      </x:c>
      <x:c r="E29" s="24" t="str">
        <x:v>pierced_damage_ratio_D_by_level</x:v>
      </x:c>
      <x:c r="F29" s="24" t="n">
        <x:v>3</x:v>
      </x:c>
      <x:c r="G29" s="24" t="n">
        <x:v>0.65</x:v>
      </x:c>
      <x:c r="H29" s="42" t="n">
        <x:v>0.95</x:v>
      </x:c>
      <x:c r="I29" s="24" t="str">
        <x:v>倍率</x:v>
      </x:c>
      <x:c r="J29" s="24" t="str">
        <x:v>机制确认/数值待试玩</x:v>
      </x:c>
      <x:c r="K29" s="24" t="str">
        <x:v>变更/新增</x:v>
      </x:c>
      <x:c r="L29" s="24" t="str">
        <x:v>穿透只能作用于有第二目标的遭遇，不加单体Boss伤害，定价48。</x:v>
      </x:c>
      <x:c r="M29" s="24" t="str">
        <x:v>策划建议，尚未写入Godot</x:v>
      </x:c>
      <x:c r="N29" s="24" t="str">
        <x:v>https://github.com/zhipijun1996/gunman-rush/blob/26e7f2a4459623f35613a857da8a75e89daa3e62/scripts/combat/weapon_definition.gd</x:v>
      </x:c>
    </x:row>
    <x:row r="30" ht="40" customHeight="1">
      <x:c r="A30" s="24" t="str">
        <x:v>P23</x:v>
      </x:c>
      <x:c r="B30" s="24" t="str">
        <x:v>奇点余振环</x:v>
      </x:c>
      <x:c r="C30" s="24" t="str">
        <x:v>紫色</x:v>
      </x:c>
      <x:c r="D30" s="24" t="n">
        <x:v>13</x:v>
      </x:c>
      <x:c r="E30" s="24" t="str">
        <x:v>singularity_pull_duration_add_s</x:v>
      </x:c>
      <x:c r="F30" s="24" t="str">
        <x:v>通用</x:v>
      </x:c>
      <x:c r="G30" s="24" t="n">
        <x:v>0.12</x:v>
      </x:c>
      <x:c r="H30" s="42" t="n">
        <x:v>0.12</x:v>
      </x:c>
      <x:c r="I30" s="24" t="str">
        <x:v>倍率</x:v>
      </x:c>
      <x:c r="J30" s="24" t="str">
        <x:v>机制确认/数值待试玩</x:v>
      </x:c>
      <x:c r="K30" s="24" t="str">
        <x:v>沿用</x:v>
      </x:c>
      <x:c r="L30" s="24" t="str">
        <x:v>奇点+0.12秒吸引且爆炸+10%，只一种武器，原78金过贵，53金。</x:v>
      </x:c>
      <x:c r="M30" s="24" t="str">
        <x:v>策划建议，尚未写入Godot</x:v>
      </x:c>
      <x:c r="N30" s="24" t="str">
        <x:v>https://github.com/zhipijun1996/gunman-rush/blob/26e7f2a4459623f35613a857da8a75e89daa3e62/scripts/combat/weapon_definition.gd</x:v>
      </x:c>
    </x:row>
    <x:row r="31" ht="40" customHeight="1">
      <x:c r="A31" s="24" t="str">
        <x:v>P23</x:v>
      </x:c>
      <x:c r="B31" s="24" t="str">
        <x:v>奇点余振环</x:v>
      </x:c>
      <x:c r="C31" s="24" t="str">
        <x:v>紫色</x:v>
      </x:c>
      <x:c r="D31" s="24" t="n">
        <x:v>13</x:v>
      </x:c>
      <x:c r="E31" s="24" t="str">
        <x:v>singularity_explosion_damage_multiplier</x:v>
      </x:c>
      <x:c r="F31" s="24" t="str">
        <x:v>通用</x:v>
      </x:c>
      <x:c r="G31" s="24" t="n">
        <x:v>1.1</x:v>
      </x:c>
      <x:c r="H31" s="42" t="n">
        <x:v>1.1</x:v>
      </x:c>
      <x:c r="I31" s="24" t="str">
        <x:v>倍率</x:v>
      </x:c>
      <x:c r="J31" s="24" t="str">
        <x:v>机制确认/数值待试玩</x:v>
      </x:c>
      <x:c r="K31" s="24" t="str">
        <x:v>沿用</x:v>
      </x:c>
      <x:c r="L31" s="24" t="str">
        <x:v>奇点+0.12秒吸引且爆炸+10%，只一种武器，原78金过贵，53金。</x:v>
      </x:c>
      <x:c r="M31" s="24" t="str">
        <x:v>策划建议，尚未写入Godot</x:v>
      </x:c>
      <x:c r="N31" s="24" t="str">
        <x:v>https://github.com/zhipijun1996/gunman-rush/blob/26e7f2a4459623f35613a857da8a75e89daa3e62/scripts/combat/weapon_definition.gd</x:v>
      </x:c>
    </x:row>
    <x:row r="32" ht="40" customHeight="1">
      <x:c r="A32" s="24" t="str">
        <x:v>P31</x:v>
      </x:c>
      <x:c r="B32" s="24" t="str">
        <x:v>刻风膛室</x:v>
      </x:c>
      <x:c r="C32" s="24" t="str">
        <x:v>紫色</x:v>
      </x:c>
      <x:c r="D32" s="24" t="n">
        <x:v>14</x:v>
      </x:c>
      <x:c r="E32" s="24" t="str">
        <x:v>air_recoil_hit_extra_damage_ratio_D_by_level</x:v>
      </x:c>
      <x:c r="F32" s="24" t="n">
        <x:v>1</x:v>
      </x:c>
      <x:c r="G32" s="24" t="str"/>
      <x:c r="H32" s="42" t="n">
        <x:v>0.45</x:v>
      </x:c>
      <x:c r="I32" s="24" t="str">
        <x:v>倍率</x:v>
      </x:c>
      <x:c r="J32" s="24" t="str">
        <x:v>机制确认/数值待试玩</x:v>
      </x:c>
      <x:c r="K32" s="24" t="str">
        <x:v>变更/新增</x:v>
      </x:c>
      <x:c r="L32" s="24" t="str">
        <x:v>空中反冲命中才有0.45~0.85D额外爆发，P0可做通用命中事件验证。</x:v>
      </x:c>
      <x:c r="M32" s="24" t="str">
        <x:v>策划建议，尚未写入Godot</x:v>
      </x:c>
      <x:c r="N32" s="24" t="str">
        <x:v>https://github.com/zhipijun1996/gunman-rush/blob/26e7f2a4459623f35613a857da8a75e89daa3e62/scripts/combat/weapon_definition.gd</x:v>
      </x:c>
    </x:row>
    <x:row r="33" ht="40" customHeight="1">
      <x:c r="A33" s="24" t="str">
        <x:v>P31</x:v>
      </x:c>
      <x:c r="B33" s="24" t="str">
        <x:v>刻风膛室</x:v>
      </x:c>
      <x:c r="C33" s="24" t="str">
        <x:v>紫色</x:v>
      </x:c>
      <x:c r="D33" s="24" t="n">
        <x:v>14</x:v>
      </x:c>
      <x:c r="E33" s="24" t="str">
        <x:v>air_recoil_hit_extra_damage_ratio_D_by_level</x:v>
      </x:c>
      <x:c r="F33" s="24" t="n">
        <x:v>2</x:v>
      </x:c>
      <x:c r="G33" s="24" t="str"/>
      <x:c r="H33" s="42" t="n">
        <x:v>0.65</x:v>
      </x:c>
      <x:c r="I33" s="24" t="str">
        <x:v>倍率</x:v>
      </x:c>
      <x:c r="J33" s="24" t="str">
        <x:v>机制确认/数值待试玩</x:v>
      </x:c>
      <x:c r="K33" s="24" t="str">
        <x:v>变更/新增</x:v>
      </x:c>
      <x:c r="L33" s="24" t="str">
        <x:v>空中反冲命中才有0.45~0.85D额外爆发，P0可做通用命中事件验证。</x:v>
      </x:c>
      <x:c r="M33" s="24" t="str">
        <x:v>策划建议，尚未写入Godot</x:v>
      </x:c>
      <x:c r="N33" s="24" t="str">
        <x:v>https://github.com/zhipijun1996/gunman-rush/blob/26e7f2a4459623f35613a857da8a75e89daa3e62/scripts/combat/weapon_definition.gd</x:v>
      </x:c>
    </x:row>
    <x:row r="34" ht="40" customHeight="1">
      <x:c r="A34" s="24" t="str">
        <x:v>P31</x:v>
      </x:c>
      <x:c r="B34" s="24" t="str">
        <x:v>刻风膛室</x:v>
      </x:c>
      <x:c r="C34" s="24" t="str">
        <x:v>紫色</x:v>
      </x:c>
      <x:c r="D34" s="24" t="n">
        <x:v>14</x:v>
      </x:c>
      <x:c r="E34" s="24" t="str">
        <x:v>air_recoil_hit_extra_damage_ratio_D_by_level</x:v>
      </x:c>
      <x:c r="F34" s="24" t="n">
        <x:v>3</x:v>
      </x:c>
      <x:c r="G34" s="24" t="str"/>
      <x:c r="H34" s="42" t="n">
        <x:v>0.85</x:v>
      </x:c>
      <x:c r="I34" s="24" t="str">
        <x:v>倍率</x:v>
      </x:c>
      <x:c r="J34" s="24" t="str">
        <x:v>机制确认/数值待试玩</x:v>
      </x:c>
      <x:c r="K34" s="24" t="str">
        <x:v>变更/新增</x:v>
      </x:c>
      <x:c r="L34" s="24" t="str">
        <x:v>空中反冲命中才有0.45~0.85D额外爆发，P0可做通用命中事件验证。</x:v>
      </x:c>
      <x:c r="M34" s="24" t="str">
        <x:v>策划建议，尚未写入Godot</x:v>
      </x:c>
      <x:c r="N34" s="24" t="str">
        <x:v>https://github.com/zhipijun1996/gunman-rush/blob/26e7f2a4459623f35613a857da8a75e89daa3e62/scripts/combat/weapon_definition.gd</x:v>
      </x:c>
    </x:row>
    <x:row r="35" ht="40" customHeight="1">
      <x:c r="A35" s="24" t="str">
        <x:v>P31</x:v>
      </x:c>
      <x:c r="B35" s="24" t="str">
        <x:v>刻风膛室</x:v>
      </x:c>
      <x:c r="C35" s="24" t="str">
        <x:v>紫色</x:v>
      </x:c>
      <x:c r="D35" s="24" t="n">
        <x:v>14</x:v>
      </x:c>
      <x:c r="E35" s="24" t="str">
        <x:v>cooldown_s</x:v>
      </x:c>
      <x:c r="F35" s="24" t="str">
        <x:v>通用</x:v>
      </x:c>
      <x:c r="G35" s="24" t="str"/>
      <x:c r="H35" s="42" t="n">
        <x:v>1.5</x:v>
      </x:c>
      <x:c r="I35" s="24" t="str">
        <x:v>秒</x:v>
      </x:c>
      <x:c r="J35" s="24" t="str">
        <x:v>机制确认/数值待试玩</x:v>
      </x:c>
      <x:c r="K35" s="24" t="str">
        <x:v>变更/新增</x:v>
      </x:c>
      <x:c r="L35" s="24" t="str">
        <x:v>空中反冲命中才有0.45~0.85D额外爆发，P0可做通用命中事件验证。</x:v>
      </x:c>
      <x:c r="M35" s="24" t="str">
        <x:v>策划建议，尚未写入Godot</x:v>
      </x:c>
      <x:c r="N35" s="24" t="str">
        <x:v>https://github.com/zhipijun1996/gunman-rush/blob/26e7f2a4459623f35613a857da8a75e89daa3e62/scripts/combat/weapon_definition.gd</x:v>
      </x:c>
    </x:row>
    <x:row r="36" ht="40" customHeight="1">
      <x:c r="A36" s="24" t="str">
        <x:v>P33</x:v>
      </x:c>
      <x:c r="B36" s="24" t="str">
        <x:v>恒辉折镜</x:v>
      </x:c>
      <x:c r="C36" s="24" t="str">
        <x:v>紫色</x:v>
      </x:c>
      <x:c r="D36" s="24" t="n">
        <x:v>15</x:v>
      </x:c>
      <x:c r="E36" s="24" t="str">
        <x:v>laser_hit_width_multiplier</x:v>
      </x:c>
      <x:c r="F36" s="24" t="str">
        <x:v>通用</x:v>
      </x:c>
      <x:c r="G36" s="24" t="n">
        <x:v>1.12</x:v>
      </x:c>
      <x:c r="H36" s="42" t="n">
        <x:v>1.12</x:v>
      </x:c>
      <x:c r="I36" s="24" t="str">
        <x:v>倍率</x:v>
      </x:c>
      <x:c r="J36" s="24" t="str">
        <x:v>机制确认/数值待试玩</x:v>
      </x:c>
      <x:c r="K36" s="24" t="str">
        <x:v>沿用</x:v>
      </x:c>
      <x:c r="L36" s="24" t="str">
        <x:v>激光碰撞宽度+12%，仅一支武器，原3槽过重建议2槽。</x:v>
      </x:c>
      <x:c r="M36" s="24" t="str">
        <x:v>策划建议，尚未写入Godot</x:v>
      </x:c>
      <x:c r="N36" s="24" t="str">
        <x:v>https://github.com/zhipijun1996/gunman-rush/blob/26e7f2a4459623f35613a857da8a75e89daa3e62/scripts/combat/weapon_definition.gd</x:v>
      </x:c>
    </x:row>
    <x:row r="37" ht="40" customHeight="1">
      <x:c r="A37" s="24" t="str">
        <x:v>P34</x:v>
      </x:c>
      <x:c r="B37" s="24" t="str">
        <x:v>连奏梭轮</x:v>
      </x:c>
      <x:c r="C37" s="24" t="str">
        <x:v>紫色</x:v>
      </x:c>
      <x:c r="D37" s="24" t="n">
        <x:v>16</x:v>
      </x:c>
      <x:c r="E37" s="24" t="str">
        <x:v>third_hit_bonus_damage_ratio_D</x:v>
      </x:c>
      <x:c r="F37" s="24" t="str">
        <x:v>通用</x:v>
      </x:c>
      <x:c r="G37" s="24" t="n">
        <x:v>0.3</x:v>
      </x:c>
      <x:c r="H37" s="42" t="n">
        <x:v>0.3</x:v>
      </x:c>
      <x:c r="I37" s="24" t="str">
        <x:v>倍率</x:v>
      </x:c>
      <x:c r="J37" s="24" t="str">
        <x:v>机制确认/数值待试玩</x:v>
      </x:c>
      <x:c r="K37" s="24" t="str">
        <x:v>沿用</x:v>
      </x:c>
      <x:c r="L37" s="24" t="str">
        <x:v>第三发需要真实命中才产生0.30D范围波，装备2槽，50金。</x:v>
      </x:c>
      <x:c r="M37" s="24" t="str">
        <x:v>策划建议，尚未写入Godot</x:v>
      </x:c>
      <x:c r="N37" s="24" t="str">
        <x:v>https://github.com/zhipijun1996/gunman-rush/blob/26e7f2a4459623f35613a857da8a75e89daa3e62/scripts/combat/weapon_definition.gd</x:v>
      </x:c>
    </x:row>
    <x:row r="38" ht="40" customHeight="1">
      <x:c r="A38" s="24" t="str">
        <x:v>P34</x:v>
      </x:c>
      <x:c r="B38" s="24" t="str">
        <x:v>连奏梭轮</x:v>
      </x:c>
      <x:c r="C38" s="24" t="str">
        <x:v>紫色</x:v>
      </x:c>
      <x:c r="D38" s="24" t="n">
        <x:v>16</x:v>
      </x:c>
      <x:c r="E38" s="24" t="str">
        <x:v>blast_radius_px</x:v>
      </x:c>
      <x:c r="F38" s="24" t="str">
        <x:v>通用</x:v>
      </x:c>
      <x:c r="G38" s="24" t="n">
        <x:v>64</x:v>
      </x:c>
      <x:c r="H38" s="42" t="n">
        <x:v>64</x:v>
      </x:c>
      <x:c r="I38" s="24" t="str">
        <x:v>世界单位</x:v>
      </x:c>
      <x:c r="J38" s="24" t="str">
        <x:v>机制确认/数值待试玩</x:v>
      </x:c>
      <x:c r="K38" s="24" t="str">
        <x:v>沿用</x:v>
      </x:c>
      <x:c r="L38" s="24" t="str">
        <x:v>第三发需要真实命中才产生0.30D范围波，装备2槽，50金。</x:v>
      </x:c>
      <x:c r="M38" s="24" t="str">
        <x:v>策划建议，尚未写入Godot</x:v>
      </x:c>
      <x:c r="N38" s="24" t="str">
        <x:v>https://github.com/zhipijun1996/gunman-rush/blob/26e7f2a4459623f35613a857da8a75e89daa3e62/scripts/combat/weapon_definition.gd</x:v>
      </x:c>
    </x:row>
    <x:row r="39" ht="40" customHeight="1">
      <x:c r="A39" s="24" t="str">
        <x:v>B07</x:v>
      </x:c>
      <x:c r="B39" s="24" t="str">
        <x:v>定脚支架</x:v>
      </x:c>
      <x:c r="C39" s="24" t="str">
        <x:v>蓝色</x:v>
      </x:c>
      <x:c r="D39" s="24" t="n">
        <x:v>17</x:v>
      </x:c>
      <x:c r="E39" s="24" t="str">
        <x:v>ground_recoil_multiplier</x:v>
      </x:c>
      <x:c r="F39" s="24" t="str">
        <x:v>通用</x:v>
      </x:c>
      <x:c r="G39" s="24" t="n">
        <x:v>0.7</x:v>
      </x:c>
      <x:c r="H39" s="42" t="n">
        <x:v>0.7</x:v>
      </x:c>
      <x:c r="I39" s="24" t="str">
        <x:v>倍率</x:v>
      </x:c>
      <x:c r="J39" s="24" t="str">
        <x:v>机制确认/数值待试玩</x:v>
      </x:c>
      <x:c r="K39" s="24" t="str">
        <x:v>沿用</x:v>
      </x:c>
      <x:c r="L39" s="24" t="str">
        <x:v>地面反冲抑制便于守位但不适合跨越，1槽便宜、明确取舍。</x:v>
      </x:c>
      <x:c r="M39" s="24" t="str">
        <x:v>策划建议，尚未写入Godot</x:v>
      </x:c>
      <x:c r="N39" s="24" t="str">
        <x:v>https://github.com/zhipijun1996/gunman-rush/blob/26e7f2a4459623f35613a857da8a75e89daa3e62/scripts/combat/weapon_definition.gd</x:v>
      </x:c>
    </x:row>
    <x:row r="40" ht="40" customHeight="1">
      <x:c r="A40" s="24" t="str">
        <x:v>B08</x:v>
      </x:c>
      <x:c r="B40" s="24" t="str">
        <x:v>止滑钟靴</x:v>
      </x:c>
      <x:c r="C40" s="24" t="str">
        <x:v>蓝色</x:v>
      </x:c>
      <x:c r="D40" s="24" t="n">
        <x:v>18</x:v>
      </x:c>
      <x:c r="E40" s="24" t="str">
        <x:v>coyote_time_add_s</x:v>
      </x:c>
      <x:c r="F40" s="24" t="str">
        <x:v>通用</x:v>
      </x:c>
      <x:c r="G40" s="24" t="str"/>
      <x:c r="H40" s="42" t="n">
        <x:v>0.05</x:v>
      </x:c>
      <x:c r="I40" s="24" t="str">
        <x:v>秒</x:v>
      </x:c>
      <x:c r="J40" s="24" t="str">
        <x:v>机制确认/数值待试玩</x:v>
      </x:c>
      <x:c r="K40" s="24" t="str">
        <x:v>变更/新增</x:v>
      </x:c>
      <x:c r="L40" s="24" t="str">
        <x:v>原+30%地面减速对260速/19800减速几乎无效，已替换为土狼时间+0.05秒。</x:v>
      </x:c>
      <x:c r="M40" s="24" t="str">
        <x:v>策划建议，尚未写入Godot</x:v>
      </x:c>
      <x:c r="N40" s="24" t="str">
        <x:v>https://github.com/zhipijun1996/gunman-rush/blob/26e7f2a4459623f35613a857da8a75e89daa3e62/scripts/combat/weapon_definition.gd</x:v>
      </x:c>
    </x:row>
    <x:row r="41" ht="40" customHeight="1">
      <x:c r="A41" s="24" t="str">
        <x:v>B23</x:v>
      </x:c>
      <x:c r="B41" s="24" t="str">
        <x:v>尾摆齿环</x:v>
      </x:c>
      <x:c r="C41" s="24" t="str">
        <x:v>蓝色</x:v>
      </x:c>
      <x:c r="D41" s="24" t="n">
        <x:v>19</x:v>
      </x:c>
      <x:c r="E41" s="24" t="str">
        <x:v>damage_ratio_D</x:v>
      </x:c>
      <x:c r="F41" s="24" t="str">
        <x:v>通用</x:v>
      </x:c>
      <x:c r="G41" s="24" t="n">
        <x:v>0.4</x:v>
      </x:c>
      <x:c r="H41" s="42" t="n">
        <x:v>0.4</x:v>
      </x:c>
      <x:c r="I41" s="24" t="str">
        <x:v>倍率</x:v>
      </x:c>
      <x:c r="J41" s="24" t="str">
        <x:v>机制确认/数值待试玩</x:v>
      </x:c>
      <x:c r="K41" s="24" t="str">
        <x:v>沿用</x:v>
      </x:c>
      <x:c r="L41" s="24" t="str">
        <x:v>反冲终点自动环不额外位移，条件苛刻，价格31更贴合触发率。</x:v>
      </x:c>
      <x:c r="M41" s="24" t="str">
        <x:v>策划建议，尚未写入Godot</x:v>
      </x:c>
      <x:c r="N41" s="24" t="str">
        <x:v>https://github.com/zhipijun1996/gunman-rush/blob/26e7f2a4459623f35613a857da8a75e89daa3e62/scripts/combat/weapon_definition.gd</x:v>
      </x:c>
    </x:row>
    <x:row r="42" ht="40" customHeight="1">
      <x:c r="A42" s="24" t="str">
        <x:v>B23</x:v>
      </x:c>
      <x:c r="B42" s="24" t="str">
        <x:v>尾摆齿环</x:v>
      </x:c>
      <x:c r="C42" s="24" t="str">
        <x:v>蓝色</x:v>
      </x:c>
      <x:c r="D42" s="24" t="n">
        <x:v>19</x:v>
      </x:c>
      <x:c r="E42" s="24" t="str">
        <x:v>effect_duration_s</x:v>
      </x:c>
      <x:c r="F42" s="24" t="str">
        <x:v>通用</x:v>
      </x:c>
      <x:c r="G42" s="24" t="n">
        <x:v>0.6</x:v>
      </x:c>
      <x:c r="H42" s="42" t="n">
        <x:v>0.6</x:v>
      </x:c>
      <x:c r="I42" s="24" t="str">
        <x:v>倍率</x:v>
      </x:c>
      <x:c r="J42" s="24" t="str">
        <x:v>机制确认/数值待试玩</x:v>
      </x:c>
      <x:c r="K42" s="24" t="str">
        <x:v>沿用</x:v>
      </x:c>
      <x:c r="L42" s="24" t="str">
        <x:v>反冲终点自动环不额外位移，条件苛刻，价格31更贴合触发率。</x:v>
      </x:c>
      <x:c r="M42" s="24" t="str">
        <x:v>策划建议，尚未写入Godot</x:v>
      </x:c>
      <x:c r="N42" s="24" t="str">
        <x:v>https://github.com/zhipijun1996/gunman-rush/blob/26e7f2a4459623f35613a857da8a75e89daa3e62/scripts/combat/weapon_definition.gd</x:v>
      </x:c>
    </x:row>
    <x:row r="43" ht="40" customHeight="1">
      <x:c r="A43" s="24" t="str">
        <x:v>B23</x:v>
      </x:c>
      <x:c r="B43" s="24" t="str">
        <x:v>尾摆齿环</x:v>
      </x:c>
      <x:c r="C43" s="24" t="str">
        <x:v>蓝色</x:v>
      </x:c>
      <x:c r="D43" s="24" t="n">
        <x:v>19</x:v>
      </x:c>
      <x:c r="E43" s="24" t="str">
        <x:v>radius_px</x:v>
      </x:c>
      <x:c r="F43" s="24" t="str">
        <x:v>通用</x:v>
      </x:c>
      <x:c r="G43" s="24" t="n">
        <x:v>52</x:v>
      </x:c>
      <x:c r="H43" s="42" t="n">
        <x:v>52</x:v>
      </x:c>
      <x:c r="I43" s="24" t="str">
        <x:v>世界单位</x:v>
      </x:c>
      <x:c r="J43" s="24" t="str">
        <x:v>机制确认/数值待试玩</x:v>
      </x:c>
      <x:c r="K43" s="24" t="str">
        <x:v>沿用</x:v>
      </x:c>
      <x:c r="L43" s="24" t="str">
        <x:v>反冲终点自动环不额外位移，条件苛刻，价格31更贴合触发率。</x:v>
      </x:c>
      <x:c r="M43" s="24" t="str">
        <x:v>策划建议，尚未写入Godot</x:v>
      </x:c>
      <x:c r="N43" s="24" t="str">
        <x:v>https://github.com/zhipijun1996/gunman-rush/blob/26e7f2a4459623f35613a857da8a75e89daa3e62/scripts/combat/weapon_definition.gd</x:v>
      </x:c>
    </x:row>
    <x:row r="44" ht="40" customHeight="1">
      <x:c r="A44" s="24" t="str">
        <x:v>B28</x:v>
      </x:c>
      <x:c r="B44" s="24" t="str">
        <x:v>逐风鞋簧</x:v>
      </x:c>
      <x:c r="C44" s="24" t="str">
        <x:v>蓝色</x:v>
      </x:c>
      <x:c r="D44" s="24" t="n">
        <x:v>20</x:v>
      </x:c>
      <x:c r="E44" s="24" t="str">
        <x:v>run_speed_multiplier</x:v>
      </x:c>
      <x:c r="F44" s="24" t="str">
        <x:v>通用</x:v>
      </x:c>
      <x:c r="G44" s="24" t="n">
        <x:v>1.05</x:v>
      </x:c>
      <x:c r="H44" s="42" t="n">
        <x:v>1.05</x:v>
      </x:c>
      <x:c r="I44" s="24" t="str">
        <x:v>倍率</x:v>
      </x:c>
      <x:c r="J44" s="24" t="str">
        <x:v>机制确认/数值待试玩</x:v>
      </x:c>
      <x:c r="K44" s="24" t="str">
        <x:v>沿用</x:v>
      </x:c>
      <x:c r="L44" s="24" t="str">
        <x:v>跑速+5%可能破坏部分精密关卡手感，改2槽仍需真实轨迹回归。</x:v>
      </x:c>
      <x:c r="M44" s="24" t="str">
        <x:v>策划建议，尚未写入Godot</x:v>
      </x:c>
      <x:c r="N44" s="24" t="str">
        <x:v>https://github.com/zhipijun1996/gunman-rush/blob/26e7f2a4459623f35613a857da8a75e89daa3e62/scripts/combat/weapon_definition.gd</x:v>
      </x:c>
    </x:row>
    <x:row r="45" ht="40" customHeight="1">
      <x:c r="A45" s="24" t="str">
        <x:v>P12</x:v>
      </x:c>
      <x:c r="B45" s="24" t="str">
        <x:v>刃影回纹</x:v>
      </x:c>
      <x:c r="C45" s="24" t="str">
        <x:v>紫色</x:v>
      </x:c>
      <x:c r="D45" s="24" t="n">
        <x:v>21</x:v>
      </x:c>
      <x:c r="E45" s="24" t="str">
        <x:v>path_contact_damage_ratio_D</x:v>
      </x:c>
      <x:c r="F45" s="24" t="str">
        <x:v>通用</x:v>
      </x:c>
      <x:c r="G45" s="24" t="n">
        <x:v>0.25</x:v>
      </x:c>
      <x:c r="H45" s="42" t="n">
        <x:v>0.25</x:v>
      </x:c>
      <x:c r="I45" s="24" t="str">
        <x:v>倍率</x:v>
      </x:c>
      <x:c r="J45" s="24" t="str">
        <x:v>机制确认/数值待试玩</x:v>
      </x:c>
      <x:c r="K45" s="24" t="str">
        <x:v>沿用</x:v>
      </x:c>
      <x:c r="L45" s="24" t="str">
        <x:v>移动轨迹擦敌才造成0.25D，面对荆棘与远程怪风险高，价格55。</x:v>
      </x:c>
      <x:c r="M45" s="24" t="str">
        <x:v>策划建议，尚未写入Godot</x:v>
      </x:c>
      <x:c r="N45" s="24" t="str">
        <x:v>https://github.com/zhipijun1996/gunman-rush/blob/26e7f2a4459623f35613a857da8a75e89daa3e62/scripts/combat/weapon_definition.gd</x:v>
      </x:c>
    </x:row>
    <x:row r="46" ht="40" customHeight="1">
      <x:c r="A46" s="24" t="str">
        <x:v>P12</x:v>
      </x:c>
      <x:c r="B46" s="24" t="str">
        <x:v>刃影回纹</x:v>
      </x:c>
      <x:c r="C46" s="24" t="str">
        <x:v>紫色</x:v>
      </x:c>
      <x:c r="D46" s="24" t="n">
        <x:v>21</x:v>
      </x:c>
      <x:c r="E46" s="24" t="str">
        <x:v>contact_width_px</x:v>
      </x:c>
      <x:c r="F46" s="24" t="str">
        <x:v>通用</x:v>
      </x:c>
      <x:c r="G46" s="24" t="n">
        <x:v>32</x:v>
      </x:c>
      <x:c r="H46" s="42" t="n">
        <x:v>32</x:v>
      </x:c>
      <x:c r="I46" s="24" t="str">
        <x:v>世界单位</x:v>
      </x:c>
      <x:c r="J46" s="24" t="str">
        <x:v>机制确认/数值待试玩</x:v>
      </x:c>
      <x:c r="K46" s="24" t="str">
        <x:v>沿用</x:v>
      </x:c>
      <x:c r="L46" s="24" t="str">
        <x:v>移动轨迹擦敌才造成0.25D，面对荆棘与远程怪风险高，价格55。</x:v>
      </x:c>
      <x:c r="M46" s="24" t="str">
        <x:v>策划建议，尚未写入Godot</x:v>
      </x:c>
      <x:c r="N46" s="24" t="str">
        <x:v>https://github.com/zhipijun1996/gunman-rush/blob/26e7f2a4459623f35613a857da8a75e89daa3e62/scripts/combat/weapon_definition.gd</x:v>
      </x:c>
    </x:row>
    <x:row r="47" ht="40" customHeight="1">
      <x:c r="A47" s="24" t="str">
        <x:v>G01</x:v>
      </x:c>
      <x:c r="B47" s="24" t="str">
        <x:v>微核回响</x:v>
      </x:c>
      <x:c r="C47" s="24" t="str">
        <x:v>金色</x:v>
      </x:c>
      <x:c r="D47" s="24" t="n">
        <x:v>23</x:v>
      </x:c>
      <x:c r="E47" s="24" t="str">
        <x:v>mark_duration_s</x:v>
      </x:c>
      <x:c r="F47" s="24" t="str">
        <x:v>通用</x:v>
      </x:c>
      <x:c r="G47" s="24" t="n">
        <x:v>5</x:v>
      </x:c>
      <x:c r="H47" s="42" t="n">
        <x:v>5</x:v>
      </x:c>
      <x:c r="I47" s="24" t="str">
        <x:v>倍率</x:v>
      </x:c>
      <x:c r="J47" s="24" t="str">
        <x:v>机制确认/数值待试玩</x:v>
      </x:c>
      <x:c r="K47" s="24" t="str">
        <x:v>沿用</x:v>
      </x:c>
      <x:c r="L47" s="24" t="str">
        <x:v>1槽金装命中标记后需再次命中引爆0.65D，单Boss增伤受6秒冷却制约。</x:v>
      </x:c>
      <x:c r="M47" s="24" t="str">
        <x:v>策划建议，尚未写入Godot</x:v>
      </x:c>
      <x:c r="N47" s="24" t="str">
        <x:v>https://github.com/zhipijun1996/gunman-rush/blob/26e7f2a4459623f35613a857da8a75e89daa3e62/scripts/combat/weapon_definition.gd</x:v>
      </x:c>
    </x:row>
    <x:row r="48" ht="40" customHeight="1">
      <x:c r="A48" s="24" t="str">
        <x:v>G01</x:v>
      </x:c>
      <x:c r="B48" s="24" t="str">
        <x:v>微核回响</x:v>
      </x:c>
      <x:c r="C48" s="24" t="str">
        <x:v>金色</x:v>
      </x:c>
      <x:c r="D48" s="24" t="n">
        <x:v>23</x:v>
      </x:c>
      <x:c r="E48" s="24" t="str">
        <x:v>detonation_damage_ratio_D</x:v>
      </x:c>
      <x:c r="F48" s="24" t="str">
        <x:v>通用</x:v>
      </x:c>
      <x:c r="G48" s="24" t="n">
        <x:v>0.65</x:v>
      </x:c>
      <x:c r="H48" s="42" t="n">
        <x:v>0.65</x:v>
      </x:c>
      <x:c r="I48" s="24" t="str">
        <x:v>倍率</x:v>
      </x:c>
      <x:c r="J48" s="24" t="str">
        <x:v>机制确认/数值待试玩</x:v>
      </x:c>
      <x:c r="K48" s="24" t="str">
        <x:v>沿用</x:v>
      </x:c>
      <x:c r="L48" s="24" t="str">
        <x:v>1槽金装命中标记后需再次命中引爆0.65D，单Boss增伤受6秒冷却制约。</x:v>
      </x:c>
      <x:c r="M48" s="24" t="str">
        <x:v>策划建议，尚未写入Godot</x:v>
      </x:c>
      <x:c r="N48" s="24" t="str">
        <x:v>https://github.com/zhipijun1996/gunman-rush/blob/26e7f2a4459623f35613a857da8a75e89daa3e62/scripts/combat/weapon_definition.gd</x:v>
      </x:c>
    </x:row>
    <x:row r="49" ht="40" customHeight="1">
      <x:c r="A49" s="24" t="str">
        <x:v>G01</x:v>
      </x:c>
      <x:c r="B49" s="24" t="str">
        <x:v>微核回响</x:v>
      </x:c>
      <x:c r="C49" s="24" t="str">
        <x:v>金色</x:v>
      </x:c>
      <x:c r="D49" s="24" t="n">
        <x:v>23</x:v>
      </x:c>
      <x:c r="E49" s="24" t="str">
        <x:v>target_cooldown_s</x:v>
      </x:c>
      <x:c r="F49" s="24" t="str">
        <x:v>通用</x:v>
      </x:c>
      <x:c r="G49" s="24" t="n">
        <x:v>6</x:v>
      </x:c>
      <x:c r="H49" s="42" t="n">
        <x:v>6</x:v>
      </x:c>
      <x:c r="I49" s="24" t="str">
        <x:v>秒</x:v>
      </x:c>
      <x:c r="J49" s="24" t="str">
        <x:v>机制确认/数值待试玩</x:v>
      </x:c>
      <x:c r="K49" s="24" t="str">
        <x:v>沿用</x:v>
      </x:c>
      <x:c r="L49" s="24" t="str">
        <x:v>1槽金装命中标记后需再次命中引爆0.65D，单Boss增伤受6秒冷却制约。</x:v>
      </x:c>
      <x:c r="M49" s="24" t="str">
        <x:v>策划建议，尚未写入Godot</x:v>
      </x:c>
      <x:c r="N49" s="24" t="str">
        <x:v>https://github.com/zhipijun1996/gunman-rush/blob/26e7f2a4459623f35613a857da8a75e89daa3e62/scripts/combat/weapon_definition.gd</x:v>
      </x:c>
    </x:row>
    <x:row r="50" ht="40" customHeight="1">
      <x:c r="A50" s="24" t="str">
        <x:v>B19</x:v>
      </x:c>
      <x:c r="B50" s="24" t="str">
        <x:v>梦读铭片</x:v>
      </x:c>
      <x:c r="C50" s="24" t="str">
        <x:v>蓝色</x:v>
      </x:c>
      <x:c r="D50" s="24" t="n">
        <x:v>24</x:v>
      </x:c>
      <x:c r="E50" s="24" t="str">
        <x:v>extra_combat_energy_on_hook_hit</x:v>
      </x:c>
      <x:c r="F50" s="24" t="str">
        <x:v>通用</x:v>
      </x:c>
      <x:c r="G50" s="24" t="n">
        <x:v>2</x:v>
      </x:c>
      <x:c r="H50" s="42" t="n">
        <x:v>2</x:v>
      </x:c>
      <x:c r="I50" s="24" t="str">
        <x:v>点/HP/金币</x:v>
      </x:c>
      <x:c r="J50" s="24" t="str">
        <x:v>机制确认/数值待试玩</x:v>
      </x:c>
      <x:c r="K50" s="24" t="str">
        <x:v>沿用</x:v>
      </x:c>
      <x:c r="L50" s="24" t="str">
        <x:v>钩索命中额外+2共鸣通常不多，且触发受能力锁限制，低价。</x:v>
      </x:c>
      <x:c r="M50" s="24" t="str">
        <x:v>策划建议，尚未写入Godot</x:v>
      </x:c>
      <x:c r="N50" s="24" t="str">
        <x:v>https://github.com/zhipijun1996/gunman-rush/blob/26e7f2a4459623f35613a857da8a75e89daa3e62/scripts/resources/state/combat_energy_state.gd</x:v>
      </x:c>
    </x:row>
    <x:row r="51" ht="40" customHeight="1">
      <x:c r="A51" s="24" t="str">
        <x:v>B19</x:v>
      </x:c>
      <x:c r="B51" s="24" t="str">
        <x:v>梦读铭片</x:v>
      </x:c>
      <x:c r="C51" s="24" t="str">
        <x:v>蓝色</x:v>
      </x:c>
      <x:c r="D51" s="24" t="n">
        <x:v>24</x:v>
      </x:c>
      <x:c r="E51" s="24" t="str">
        <x:v>mark_duration_s</x:v>
      </x:c>
      <x:c r="F51" s="24" t="str">
        <x:v>通用</x:v>
      </x:c>
      <x:c r="G51" s="24" t="n">
        <x:v>4</x:v>
      </x:c>
      <x:c r="H51" s="42" t="n">
        <x:v>4</x:v>
      </x:c>
      <x:c r="I51" s="24" t="str">
        <x:v>倍率</x:v>
      </x:c>
      <x:c r="J51" s="24" t="str">
        <x:v>机制确认/数值待试玩</x:v>
      </x:c>
      <x:c r="K51" s="24" t="str">
        <x:v>沿用</x:v>
      </x:c>
      <x:c r="L51" s="24" t="str">
        <x:v>钩索命中额外+2共鸣通常不多，且触发受能力锁限制，低价。</x:v>
      </x:c>
      <x:c r="M51" s="24" t="str">
        <x:v>策划建议，尚未写入Godot</x:v>
      </x:c>
      <x:c r="N51" s="24" t="str">
        <x:v>https://github.com/zhipijun1996/gunman-rush/blob/26e7f2a4459623f35613a857da8a75e89daa3e62/scripts/resources/state/combat_energy_state.gd</x:v>
      </x:c>
    </x:row>
    <x:row r="52" ht="40" customHeight="1">
      <x:c r="A52" s="24" t="str">
        <x:v>B21</x:v>
      </x:c>
      <x:c r="B52" s="24" t="str">
        <x:v>长索绕轮</x:v>
      </x:c>
      <x:c r="C52" s="24" t="str">
        <x:v>蓝色</x:v>
      </x:c>
      <x:c r="D52" s="24" t="n">
        <x:v>25</x:v>
      </x:c>
      <x:c r="E52" s="24" t="str">
        <x:v>hook_range_multiplier_by_level</x:v>
      </x:c>
      <x:c r="F52" s="24" t="n">
        <x:v>1</x:v>
      </x:c>
      <x:c r="G52" s="24" t="n">
        <x:v>1.08</x:v>
      </x:c>
      <x:c r="H52" s="42" t="n">
        <x:v>1.15</x:v>
      </x:c>
      <x:c r="I52" s="24" t="str">
        <x:v>倍率</x:v>
      </x:c>
      <x:c r="J52" s="24" t="str">
        <x:v>机制确认/数值待试玩</x:v>
      </x:c>
      <x:c r="K52" s="24" t="str">
        <x:v>变更/新增</x:v>
      </x:c>
      <x:c r="L52" s="24" t="str">
        <x:v>4槽仅加钩索距离，Lv3才显著；价格下降，主线不得强制依赖。</x:v>
      </x:c>
      <x:c r="M52" s="24" t="str">
        <x:v>策划建议，尚未写入Godot</x:v>
      </x:c>
      <x:c r="N52" s="24" t="str">
        <x:v>https://github.com/zhipijun1996/gunman-rush/blob/26e7f2a4459623f35613a857da8a75e89daa3e62/resources/player/traversal.tres</x:v>
      </x:c>
    </x:row>
    <x:row r="53" ht="40" customHeight="1">
      <x:c r="A53" s="24" t="str">
        <x:v>B21</x:v>
      </x:c>
      <x:c r="B53" s="24" t="str">
        <x:v>长索绕轮</x:v>
      </x:c>
      <x:c r="C53" s="24" t="str">
        <x:v>蓝色</x:v>
      </x:c>
      <x:c r="D53" s="24" t="n">
        <x:v>25</x:v>
      </x:c>
      <x:c r="E53" s="24" t="str">
        <x:v>hook_range_multiplier_by_level</x:v>
      </x:c>
      <x:c r="F53" s="24" t="n">
        <x:v>2</x:v>
      </x:c>
      <x:c r="G53" s="24" t="n">
        <x:v>1.08</x:v>
      </x:c>
      <x:c r="H53" s="42" t="n">
        <x:v>1.25</x:v>
      </x:c>
      <x:c r="I53" s="24" t="str">
        <x:v>倍率</x:v>
      </x:c>
      <x:c r="J53" s="24" t="str">
        <x:v>机制确认/数值待试玩</x:v>
      </x:c>
      <x:c r="K53" s="24" t="str">
        <x:v>变更/新增</x:v>
      </x:c>
      <x:c r="L53" s="24" t="str">
        <x:v>4槽仅加钩索距离，Lv3才显著；价格下降，主线不得强制依赖。</x:v>
      </x:c>
      <x:c r="M53" s="24" t="str">
        <x:v>策划建议，尚未写入Godot</x:v>
      </x:c>
      <x:c r="N53" s="24" t="str">
        <x:v>https://github.com/zhipijun1996/gunman-rush/blob/26e7f2a4459623f35613a857da8a75e89daa3e62/resources/player/traversal.tres</x:v>
      </x:c>
    </x:row>
    <x:row r="54" ht="40" customHeight="1">
      <x:c r="A54" s="24" t="str">
        <x:v>B21</x:v>
      </x:c>
      <x:c r="B54" s="24" t="str">
        <x:v>长索绕轮</x:v>
      </x:c>
      <x:c r="C54" s="24" t="str">
        <x:v>蓝色</x:v>
      </x:c>
      <x:c r="D54" s="24" t="n">
        <x:v>25</x:v>
      </x:c>
      <x:c r="E54" s="24" t="str">
        <x:v>hook_range_multiplier_by_level</x:v>
      </x:c>
      <x:c r="F54" s="24" t="n">
        <x:v>3</x:v>
      </x:c>
      <x:c r="G54" s="24" t="n">
        <x:v>1.08</x:v>
      </x:c>
      <x:c r="H54" s="42" t="n">
        <x:v>1.35</x:v>
      </x:c>
      <x:c r="I54" s="24" t="str">
        <x:v>倍率</x:v>
      </x:c>
      <x:c r="J54" s="24" t="str">
        <x:v>机制确认/数值待试玩</x:v>
      </x:c>
      <x:c r="K54" s="24" t="str">
        <x:v>变更/新增</x:v>
      </x:c>
      <x:c r="L54" s="24" t="str">
        <x:v>4槽仅加钩索距离，Lv3才显著；价格下降，主线不得强制依赖。</x:v>
      </x:c>
      <x:c r="M54" s="24" t="str">
        <x:v>策划建议，尚未写入Godot</x:v>
      </x:c>
      <x:c r="N54" s="24" t="str">
        <x:v>https://github.com/zhipijun1996/gunman-rush/blob/26e7f2a4459623f35613a857da8a75e89daa3e62/resources/player/traversal.tres</x:v>
      </x:c>
    </x:row>
    <x:row r="55" ht="40" customHeight="1">
      <x:c r="A55" s="24" t="str">
        <x:v>P13</x:v>
      </x:c>
      <x:c r="B55" s="24" t="str">
        <x:v>追索徽记</x:v>
      </x:c>
      <x:c r="C55" s="24" t="str">
        <x:v>紫色</x:v>
      </x:c>
      <x:c r="D55" s="24" t="n">
        <x:v>26</x:v>
      </x:c>
      <x:c r="E55" s="24" t="str">
        <x:v>mark_duration_s</x:v>
      </x:c>
      <x:c r="F55" s="24" t="str">
        <x:v>通用</x:v>
      </x:c>
      <x:c r="G55" s="24" t="n">
        <x:v>4</x:v>
      </x:c>
      <x:c r="H55" s="42" t="n">
        <x:v>4</x:v>
      </x:c>
      <x:c r="I55" s="24" t="str">
        <x:v>倍率</x:v>
      </x:c>
      <x:c r="J55" s="24" t="str">
        <x:v>机制确认/数值待试玩</x:v>
      </x:c>
      <x:c r="K55" s="24" t="str">
        <x:v>沿用</x:v>
      </x:c>
      <x:c r="L55" s="24" t="str">
        <x:v>钩索接触目标才有4秒+20%主攻加成，适合标记Boss但仍尊重护甲。</x:v>
      </x:c>
      <x:c r="M55" s="24" t="str">
        <x:v>策划建议，尚未写入Godot</x:v>
      </x:c>
      <x:c r="N55" s="24" t="str">
        <x:v>https://github.com/zhipijun1996/gunman-rush/blob/26e7f2a4459623f35613a857da8a75e89daa3e62/resources/player/traversal.tres</x:v>
      </x:c>
    </x:row>
    <x:row r="56" ht="40" customHeight="1">
      <x:c r="A56" s="24" t="str">
        <x:v>P13</x:v>
      </x:c>
      <x:c r="B56" s="24" t="str">
        <x:v>追索徽记</x:v>
      </x:c>
      <x:c r="C56" s="24" t="str">
        <x:v>紫色</x:v>
      </x:c>
      <x:c r="D56" s="24" t="n">
        <x:v>26</x:v>
      </x:c>
      <x:c r="E56" s="24" t="str">
        <x:v>marked_primary_damage_multiplier</x:v>
      </x:c>
      <x:c r="F56" s="24" t="str">
        <x:v>通用</x:v>
      </x:c>
      <x:c r="G56" s="24" t="n">
        <x:v>1.2</x:v>
      </x:c>
      <x:c r="H56" s="42" t="n">
        <x:v>1.2</x:v>
      </x:c>
      <x:c r="I56" s="24" t="str">
        <x:v>倍率</x:v>
      </x:c>
      <x:c r="J56" s="24" t="str">
        <x:v>机制确认/数值待试玩</x:v>
      </x:c>
      <x:c r="K56" s="24" t="str">
        <x:v>沿用</x:v>
      </x:c>
      <x:c r="L56" s="24" t="str">
        <x:v>钩索接触目标才有4秒+20%主攻加成，适合标记Boss但仍尊重护甲。</x:v>
      </x:c>
      <x:c r="M56" s="24" t="str">
        <x:v>策划建议，尚未写入Godot</x:v>
      </x:c>
      <x:c r="N56" s="24" t="str">
        <x:v>https://github.com/zhipijun1996/gunman-rush/blob/26e7f2a4459623f35613a857da8a75e89daa3e62/resources/player/traversal.tres</x:v>
      </x:c>
    </x:row>
    <x:row r="57" ht="40" customHeight="1">
      <x:c r="A57" s="24" t="str">
        <x:v>P29</x:v>
      </x:c>
      <x:c r="B57" s="24" t="str">
        <x:v>雷丝引线</x:v>
      </x:c>
      <x:c r="C57" s="24" t="str">
        <x:v>紫色</x:v>
      </x:c>
      <x:c r="D57" s="24" t="n">
        <x:v>27</x:v>
      </x:c>
      <x:c r="E57" s="24" t="str">
        <x:v>chain_targets_by_level</x:v>
      </x:c>
      <x:c r="F57" s="24" t="n">
        <x:v>1</x:v>
      </x:c>
      <x:c r="G57" s="24" t="n">
        <x:v>2</x:v>
      </x:c>
      <x:c r="H57" s="42" t="n">
        <x:v>1</x:v>
      </x:c>
      <x:c r="I57" s="24" t="str">
        <x:v>计数/模式</x:v>
      </x:c>
      <x:c r="J57" s="24" t="str">
        <x:v>机制确认/数值待试玩</x:v>
      </x:c>
      <x:c r="K57" s="24" t="str">
        <x:v>变更/新增</x:v>
      </x:c>
      <x:c r="L57" s="24" t="str">
        <x:v>通用电链最多两目标、1.5秒冷却，Lv3额外0.45D；54金+2槽比较强。</x:v>
      </x:c>
      <x:c r="M57" s="24" t="str">
        <x:v>策划建议，尚未写入Godot</x:v>
      </x:c>
      <x:c r="N57" s="24" t="str">
        <x:v>https://github.com/zhipijun1996/gunman-rush/blob/26e7f2a4459623f35613a857da8a75e89daa3e62/resources/player/traversal.tres</x:v>
      </x:c>
    </x:row>
    <x:row r="58" ht="40" customHeight="1">
      <x:c r="A58" s="24" t="str">
        <x:v>P29</x:v>
      </x:c>
      <x:c r="B58" s="24" t="str">
        <x:v>雷丝引线</x:v>
      </x:c>
      <x:c r="C58" s="24" t="str">
        <x:v>紫色</x:v>
      </x:c>
      <x:c r="D58" s="24" t="n">
        <x:v>27</x:v>
      </x:c>
      <x:c r="E58" s="24" t="str">
        <x:v>chain_targets_by_level</x:v>
      </x:c>
      <x:c r="F58" s="24" t="n">
        <x:v>2</x:v>
      </x:c>
      <x:c r="G58" s="24" t="n">
        <x:v>2</x:v>
      </x:c>
      <x:c r="H58" s="42" t="n">
        <x:v>2</x:v>
      </x:c>
      <x:c r="I58" s="24" t="str">
        <x:v>计数/模式</x:v>
      </x:c>
      <x:c r="J58" s="24" t="str">
        <x:v>机制确认/数值待试玩</x:v>
      </x:c>
      <x:c r="K58" s="24" t="str">
        <x:v>沿用</x:v>
      </x:c>
      <x:c r="L58" s="24" t="str">
        <x:v>通用电链最多两目标、1.5秒冷却，Lv3额外0.45D；54金+2槽比较强。</x:v>
      </x:c>
      <x:c r="M58" s="24" t="str">
        <x:v>策划建议，尚未写入Godot</x:v>
      </x:c>
      <x:c r="N58" s="24" t="str">
        <x:v>https://github.com/zhipijun1996/gunman-rush/blob/26e7f2a4459623f35613a857da8a75e89daa3e62/resources/player/traversal.tres</x:v>
      </x:c>
    </x:row>
    <x:row r="59" ht="40" customHeight="1">
      <x:c r="A59" s="24" t="str">
        <x:v>P29</x:v>
      </x:c>
      <x:c r="B59" s="24" t="str">
        <x:v>雷丝引线</x:v>
      </x:c>
      <x:c r="C59" s="24" t="str">
        <x:v>紫色</x:v>
      </x:c>
      <x:c r="D59" s="24" t="n">
        <x:v>27</x:v>
      </x:c>
      <x:c r="E59" s="24" t="str">
        <x:v>chain_targets_by_level</x:v>
      </x:c>
      <x:c r="F59" s="24" t="n">
        <x:v>3</x:v>
      </x:c>
      <x:c r="G59" s="24" t="n">
        <x:v>2</x:v>
      </x:c>
      <x:c r="H59" s="42" t="n">
        <x:v>2</x:v>
      </x:c>
      <x:c r="I59" s="24" t="str">
        <x:v>计数/模式</x:v>
      </x:c>
      <x:c r="J59" s="24" t="str">
        <x:v>机制确认/数值待试玩</x:v>
      </x:c>
      <x:c r="K59" s="24" t="str">
        <x:v>沿用</x:v>
      </x:c>
      <x:c r="L59" s="24" t="str">
        <x:v>通用电链最多两目标、1.5秒冷却，Lv3额外0.45D；54金+2槽比较强。</x:v>
      </x:c>
      <x:c r="M59" s="24" t="str">
        <x:v>策划建议，尚未写入Godot</x:v>
      </x:c>
      <x:c r="N59" s="24" t="str">
        <x:v>https://github.com/zhipijun1996/gunman-rush/blob/26e7f2a4459623f35613a857da8a75e89daa3e62/resources/player/traversal.tres</x:v>
      </x:c>
    </x:row>
    <x:row r="60" ht="40" customHeight="1">
      <x:c r="A60" s="24" t="str">
        <x:v>P29</x:v>
      </x:c>
      <x:c r="B60" s="24" t="str">
        <x:v>雷丝引线</x:v>
      </x:c>
      <x:c r="C60" s="24" t="str">
        <x:v>紫色</x:v>
      </x:c>
      <x:c r="D60" s="24" t="n">
        <x:v>27</x:v>
      </x:c>
      <x:c r="E60" s="24" t="str">
        <x:v>chain_damage_ratio_D_by_level</x:v>
      </x:c>
      <x:c r="F60" s="24" t="n">
        <x:v>1</x:v>
      </x:c>
      <x:c r="G60" s="24" t="n">
        <x:v>0.3</x:v>
      </x:c>
      <x:c r="H60" s="42" t="n">
        <x:v>0.3</x:v>
      </x:c>
      <x:c r="I60" s="24" t="str">
        <x:v>倍率</x:v>
      </x:c>
      <x:c r="J60" s="24" t="str">
        <x:v>机制确认/数值待试玩</x:v>
      </x:c>
      <x:c r="K60" s="24" t="str">
        <x:v>沿用</x:v>
      </x:c>
      <x:c r="L60" s="24" t="str">
        <x:v>通用电链最多两目标、1.5秒冷却，Lv3额外0.45D；54金+2槽比较强。</x:v>
      </x:c>
      <x:c r="M60" s="24" t="str">
        <x:v>策划建议，尚未写入Godot</x:v>
      </x:c>
      <x:c r="N60" s="24" t="str">
        <x:v>https://github.com/zhipijun1996/gunman-rush/blob/26e7f2a4459623f35613a857da8a75e89daa3e62/resources/player/traversal.tres</x:v>
      </x:c>
    </x:row>
    <x:row r="61" ht="40" customHeight="1">
      <x:c r="A61" s="24" t="str">
        <x:v>P29</x:v>
      </x:c>
      <x:c r="B61" s="24" t="str">
        <x:v>雷丝引线</x:v>
      </x:c>
      <x:c r="C61" s="24" t="str">
        <x:v>紫色</x:v>
      </x:c>
      <x:c r="D61" s="24" t="n">
        <x:v>27</x:v>
      </x:c>
      <x:c r="E61" s="24" t="str">
        <x:v>chain_damage_ratio_D_by_level</x:v>
      </x:c>
      <x:c r="F61" s="24" t="n">
        <x:v>2</x:v>
      </x:c>
      <x:c r="G61" s="24" t="n">
        <x:v>0.3</x:v>
      </x:c>
      <x:c r="H61" s="42" t="n">
        <x:v>0.3</x:v>
      </x:c>
      <x:c r="I61" s="24" t="str">
        <x:v>倍率</x:v>
      </x:c>
      <x:c r="J61" s="24" t="str">
        <x:v>机制确认/数值待试玩</x:v>
      </x:c>
      <x:c r="K61" s="24" t="str">
        <x:v>沿用</x:v>
      </x:c>
      <x:c r="L61" s="24" t="str">
        <x:v>通用电链最多两目标、1.5秒冷却，Lv3额外0.45D；54金+2槽比较强。</x:v>
      </x:c>
      <x:c r="M61" s="24" t="str">
        <x:v>策划建议，尚未写入Godot</x:v>
      </x:c>
      <x:c r="N61" s="24" t="str">
        <x:v>https://github.com/zhipijun1996/gunman-rush/blob/26e7f2a4459623f35613a857da8a75e89daa3e62/resources/player/traversal.tres</x:v>
      </x:c>
    </x:row>
    <x:row r="62" ht="40" customHeight="1">
      <x:c r="A62" s="24" t="str">
        <x:v>P29</x:v>
      </x:c>
      <x:c r="B62" s="24" t="str">
        <x:v>雷丝引线</x:v>
      </x:c>
      <x:c r="C62" s="24" t="str">
        <x:v>紫色</x:v>
      </x:c>
      <x:c r="D62" s="24" t="n">
        <x:v>27</x:v>
      </x:c>
      <x:c r="E62" s="24" t="str">
        <x:v>chain_damage_ratio_D_by_level</x:v>
      </x:c>
      <x:c r="F62" s="24" t="n">
        <x:v>3</x:v>
      </x:c>
      <x:c r="G62" s="24" t="n">
        <x:v>0.3</x:v>
      </x:c>
      <x:c r="H62" s="42" t="n">
        <x:v>0.45</x:v>
      </x:c>
      <x:c r="I62" s="24" t="str">
        <x:v>倍率</x:v>
      </x:c>
      <x:c r="J62" s="24" t="str">
        <x:v>机制确认/数值待试玩</x:v>
      </x:c>
      <x:c r="K62" s="24" t="str">
        <x:v>变更/新增</x:v>
      </x:c>
      <x:c r="L62" s="24" t="str">
        <x:v>通用电链最多两目标、1.5秒冷却，Lv3额外0.45D；54金+2槽比较强。</x:v>
      </x:c>
      <x:c r="M62" s="24" t="str">
        <x:v>策划建议，尚未写入Godot</x:v>
      </x:c>
      <x:c r="N62" s="24" t="str">
        <x:v>https://github.com/zhipijun1996/gunman-rush/blob/26e7f2a4459623f35613a857da8a75e89daa3e62/resources/player/traversal.tres</x:v>
      </x:c>
    </x:row>
    <x:row r="63" ht="40" customHeight="1">
      <x:c r="A63" s="24" t="str">
        <x:v>P29</x:v>
      </x:c>
      <x:c r="B63" s="24" t="str">
        <x:v>雷丝引线</x:v>
      </x:c>
      <x:c r="C63" s="24" t="str">
        <x:v>紫色</x:v>
      </x:c>
      <x:c r="D63" s="24" t="n">
        <x:v>27</x:v>
      </x:c>
      <x:c r="E63" s="24" t="str">
        <x:v>chain_radius_px</x:v>
      </x:c>
      <x:c r="F63" s="24" t="str">
        <x:v>通用</x:v>
      </x:c>
      <x:c r="G63" s="24" t="str"/>
      <x:c r="H63" s="42" t="n">
        <x:v>120</x:v>
      </x:c>
      <x:c r="I63" s="24" t="str">
        <x:v>世界单位</x:v>
      </x:c>
      <x:c r="J63" s="24" t="str">
        <x:v>机制确认/数值待试玩</x:v>
      </x:c>
      <x:c r="K63" s="24" t="str">
        <x:v>变更/新增</x:v>
      </x:c>
      <x:c r="L63" s="24" t="str">
        <x:v>通用电链最多两目标、1.5秒冷却，Lv3额外0.45D；54金+2槽比较强。</x:v>
      </x:c>
      <x:c r="M63" s="24" t="str">
        <x:v>策划建议，尚未写入Godot</x:v>
      </x:c>
      <x:c r="N63" s="24" t="str">
        <x:v>https://github.com/zhipijun1996/gunman-rush/blob/26e7f2a4459623f35613a857da8a75e89daa3e62/resources/player/traversal.tres</x:v>
      </x:c>
    </x:row>
    <x:row r="64" ht="40" customHeight="1">
      <x:c r="A64" s="24" t="str">
        <x:v>P29</x:v>
      </x:c>
      <x:c r="B64" s="24" t="str">
        <x:v>雷丝引线</x:v>
      </x:c>
      <x:c r="C64" s="24" t="str">
        <x:v>紫色</x:v>
      </x:c>
      <x:c r="D64" s="24" t="n">
        <x:v>27</x:v>
      </x:c>
      <x:c r="E64" s="24" t="str">
        <x:v>cooldown_s</x:v>
      </x:c>
      <x:c r="F64" s="24" t="str">
        <x:v>通用</x:v>
      </x:c>
      <x:c r="G64" s="24" t="str"/>
      <x:c r="H64" s="42" t="n">
        <x:v>1.5</x:v>
      </x:c>
      <x:c r="I64" s="24" t="str">
        <x:v>秒</x:v>
      </x:c>
      <x:c r="J64" s="24" t="str">
        <x:v>机制确认/数值待试玩</x:v>
      </x:c>
      <x:c r="K64" s="24" t="str">
        <x:v>变更/新增</x:v>
      </x:c>
      <x:c r="L64" s="24" t="str">
        <x:v>通用电链最多两目标、1.5秒冷却，Lv3额外0.45D；54金+2槽比较强。</x:v>
      </x:c>
      <x:c r="M64" s="24" t="str">
        <x:v>策划建议，尚未写入Godot</x:v>
      </x:c>
      <x:c r="N64" s="24" t="str">
        <x:v>https://github.com/zhipijun1996/gunman-rush/blob/26e7f2a4459623f35613a857da8a75e89daa3e62/resources/player/traversal.tres</x:v>
      </x:c>
    </x:row>
    <x:row r="65" ht="40" customHeight="1">
      <x:c r="A65" s="24" t="str">
        <x:v>B04</x:v>
      </x:c>
      <x:c r="B65" s="24" t="str">
        <x:v>省力扳簧</x:v>
      </x:c>
      <x:c r="C65" s="24" t="str">
        <x:v>蓝色</x:v>
      </x:c>
      <x:c r="D65" s="24" t="n">
        <x:v>29</x:v>
      </x:c>
      <x:c r="E65" s="24" t="str">
        <x:v>focus_stamina_drain_multiplier_by_level</x:v>
      </x:c>
      <x:c r="F65" s="24" t="n">
        <x:v>1</x:v>
      </x:c>
      <x:c r="G65" s="24" t="n">
        <x:v>0.82</x:v>
      </x:c>
      <x:c r="H65" s="42" t="n">
        <x:v>0.82</x:v>
      </x:c>
      <x:c r="I65" s="24" t="str">
        <x:v>倍率</x:v>
      </x:c>
      <x:c r="J65" s="24" t="str">
        <x:v>机制确认/数值待试玩</x:v>
      </x:c>
      <x:c r="K65" s="24" t="str">
        <x:v>沿用</x:v>
      </x:c>
      <x:c r="L65" s="24" t="str">
        <x:v>1槽三级减耗38%非常强，但不延长2秒慢时，靠重复获取限制上限。</x:v>
      </x:c>
      <x:c r="M65" s="24" t="str">
        <x:v>策划建议，尚未写入Godot</x:v>
      </x:c>
      <x:c r="N65" s="24" t="str">
        <x:v>https://github.com/zhipijun1996/gunman-rush/blob/26e7f2a4459623f35613a857da8a75e89daa3e62/resources/player/demo_ui_01/time_energy_v2.tres</x:v>
      </x:c>
    </x:row>
    <x:row r="66" ht="40" customHeight="1">
      <x:c r="A66" s="24" t="str">
        <x:v>B04</x:v>
      </x:c>
      <x:c r="B66" s="24" t="str">
        <x:v>省力扳簧</x:v>
      </x:c>
      <x:c r="C66" s="24" t="str">
        <x:v>蓝色</x:v>
      </x:c>
      <x:c r="D66" s="24" t="n">
        <x:v>29</x:v>
      </x:c>
      <x:c r="E66" s="24" t="str">
        <x:v>focus_stamina_drain_multiplier_by_level</x:v>
      </x:c>
      <x:c r="F66" s="24" t="n">
        <x:v>2</x:v>
      </x:c>
      <x:c r="G66" s="24" t="n">
        <x:v>0.82</x:v>
      </x:c>
      <x:c r="H66" s="42" t="n">
        <x:v>0.72</x:v>
      </x:c>
      <x:c r="I66" s="24" t="str">
        <x:v>倍率</x:v>
      </x:c>
      <x:c r="J66" s="24" t="str">
        <x:v>机制确认/数值待试玩</x:v>
      </x:c>
      <x:c r="K66" s="24" t="str">
        <x:v>变更/新增</x:v>
      </x:c>
      <x:c r="L66" s="24" t="str">
        <x:v>1槽三级减耗38%非常强，但不延长2秒慢时，靠重复获取限制上限。</x:v>
      </x:c>
      <x:c r="M66" s="24" t="str">
        <x:v>策划建议，尚未写入Godot</x:v>
      </x:c>
      <x:c r="N66" s="24" t="str">
        <x:v>https://github.com/zhipijun1996/gunman-rush/blob/26e7f2a4459623f35613a857da8a75e89daa3e62/resources/player/demo_ui_01/time_energy_v2.tres</x:v>
      </x:c>
    </x:row>
    <x:row r="67" ht="40" customHeight="1">
      <x:c r="A67" s="24" t="str">
        <x:v>B04</x:v>
      </x:c>
      <x:c r="B67" s="24" t="str">
        <x:v>省力扳簧</x:v>
      </x:c>
      <x:c r="C67" s="24" t="str">
        <x:v>蓝色</x:v>
      </x:c>
      <x:c r="D67" s="24" t="n">
        <x:v>29</x:v>
      </x:c>
      <x:c r="E67" s="24" t="str">
        <x:v>focus_stamina_drain_multiplier_by_level</x:v>
      </x:c>
      <x:c r="F67" s="24" t="n">
        <x:v>3</x:v>
      </x:c>
      <x:c r="G67" s="24" t="n">
        <x:v>0.82</x:v>
      </x:c>
      <x:c r="H67" s="42" t="n">
        <x:v>0.62</x:v>
      </x:c>
      <x:c r="I67" s="24" t="str">
        <x:v>倍率</x:v>
      </x:c>
      <x:c r="J67" s="24" t="str">
        <x:v>机制确认/数值待试玩</x:v>
      </x:c>
      <x:c r="K67" s="24" t="str">
        <x:v>变更/新增</x:v>
      </x:c>
      <x:c r="L67" s="24" t="str">
        <x:v>1槽三级减耗38%非常强，但不延长2秒慢时，靠重复获取限制上限。</x:v>
      </x:c>
      <x:c r="M67" s="24" t="str">
        <x:v>策划建议，尚未写入Godot</x:v>
      </x:c>
      <x:c r="N67" s="24" t="str">
        <x:v>https://github.com/zhipijun1996/gunman-rush/blob/26e7f2a4459623f35613a857da8a75e89daa3e62/resources/player/demo_ui_01/time_energy_v2.tres</x:v>
      </x:c>
    </x:row>
    <x:row r="68" ht="40" customHeight="1">
      <x:c r="A68" s="24" t="str">
        <x:v>P04</x:v>
      </x:c>
      <x:c r="B68" s="24" t="str">
        <x:v>悬空回响</x:v>
      </x:c>
      <x:c r="C68" s="24" t="str">
        <x:v>紫色</x:v>
      </x:c>
      <x:c r="D68" s="24" t="n">
        <x:v>30</x:v>
      </x:c>
      <x:c r="E68" s="24" t="str">
        <x:v>next_primary_multiplier</x:v>
      </x:c>
      <x:c r="F68" s="24" t="str">
        <x:v>通用</x:v>
      </x:c>
      <x:c r="G68" s="24" t="n">
        <x:v>1.18</x:v>
      </x:c>
      <x:c r="H68" s="42" t="n">
        <x:v>1.18</x:v>
      </x:c>
      <x:c r="I68" s="24" t="str">
        <x:v>倍率</x:v>
      </x:c>
      <x:c r="J68" s="24" t="str">
        <x:v>机制确认/数值待试玩</x:v>
      </x:c>
      <x:c r="K68" s="24" t="str">
        <x:v>沿用</x:v>
      </x:c>
      <x:c r="L68" s="24" t="str">
        <x:v>空中先命中再下一击+18%，基础1发空中限制实际续射困难，定价45。</x:v>
      </x:c>
      <x:c r="M68" s="24" t="str">
        <x:v>策划建议，尚未写入Godot</x:v>
      </x:c>
      <x:c r="N68" s="24" t="str">
        <x:v>https://github.com/zhipijun1996/gunman-rush/blob/26e7f2a4459623f35613a857da8a75e89daa3e62/scripts/combat/weapon_definition.gd</x:v>
      </x:c>
    </x:row>
    <x:row r="69" ht="40" customHeight="1">
      <x:c r="A69" s="24" t="str">
        <x:v>P04</x:v>
      </x:c>
      <x:c r="B69" s="24" t="str">
        <x:v>悬空回响</x:v>
      </x:c>
      <x:c r="C69" s="24" t="str">
        <x:v>紫色</x:v>
      </x:c>
      <x:c r="D69" s="24" t="n">
        <x:v>30</x:v>
      </x:c>
      <x:c r="E69" s="24" t="str">
        <x:v>buff_window_s</x:v>
      </x:c>
      <x:c r="F69" s="24" t="str">
        <x:v>通用</x:v>
      </x:c>
      <x:c r="G69" s="24" t="n">
        <x:v>1.5</x:v>
      </x:c>
      <x:c r="H69" s="42" t="n">
        <x:v>1.5</x:v>
      </x:c>
      <x:c r="I69" s="24" t="str">
        <x:v>秒</x:v>
      </x:c>
      <x:c r="J69" s="24" t="str">
        <x:v>机制确认/数值待试玩</x:v>
      </x:c>
      <x:c r="K69" s="24" t="str">
        <x:v>沿用</x:v>
      </x:c>
      <x:c r="L69" s="24" t="str">
        <x:v>空中先命中再下一击+18%，基础1发空中限制实际续射困难，定价45。</x:v>
      </x:c>
      <x:c r="M69" s="24" t="str">
        <x:v>策划建议，尚未写入Godot</x:v>
      </x:c>
      <x:c r="N69" s="24" t="str">
        <x:v>https://github.com/zhipijun1996/gunman-rush/blob/26e7f2a4459623f35613a857da8a75e89daa3e62/scripts/combat/weapon_definition.gd</x:v>
      </x:c>
    </x:row>
    <x:row r="70" ht="40" customHeight="1">
      <x:c r="A70" s="24" t="str">
        <x:v>B06</x:v>
      </x:c>
      <x:c r="B70" s="24" t="str">
        <x:v>回声小匣</x:v>
      </x:c>
      <x:c r="C70" s="24" t="str">
        <x:v>蓝色</x:v>
      </x:c>
      <x:c r="D70" s="24" t="n">
        <x:v>31</x:v>
      </x:c>
      <x:c r="E70" s="24" t="str">
        <x:v>air_hit_refund_by_level</x:v>
      </x:c>
      <x:c r="F70" s="24" t="n">
        <x:v>1</x:v>
      </x:c>
      <x:c r="G70" s="24" t="str"/>
      <x:c r="H70" s="42" t="n">
        <x:v>10</x:v>
      </x:c>
      <x:c r="I70" s="24" t="str">
        <x:v>计数/模式</x:v>
      </x:c>
      <x:c r="J70" s="24" t="str">
        <x:v>机制确认/数值待试玩</x:v>
      </x:c>
      <x:c r="K70" s="24" t="str">
        <x:v>变更/新增</x:v>
      </x:c>
      <x:c r="L70" s="24" t="str">
        <x:v>空中命中补10/15/20时间能量很强，2秒上限与每腾空限额阻止无限停时。</x:v>
      </x:c>
      <x:c r="M70" s="24" t="str">
        <x:v>策划建议，尚未写入Godot</x:v>
      </x:c>
      <x:c r="N70" s="24" t="str">
        <x:v>https://github.com/zhipijun1996/gunman-rush/blob/26e7f2a4459623f35613a857da8a75e89daa3e62/resources/player/demo_ui_01/time_energy_v2.tres</x:v>
      </x:c>
    </x:row>
    <x:row r="71" ht="40" customHeight="1">
      <x:c r="A71" s="24" t="str">
        <x:v>B06</x:v>
      </x:c>
      <x:c r="B71" s="24" t="str">
        <x:v>回声小匣</x:v>
      </x:c>
      <x:c r="C71" s="24" t="str">
        <x:v>蓝色</x:v>
      </x:c>
      <x:c r="D71" s="24" t="n">
        <x:v>31</x:v>
      </x:c>
      <x:c r="E71" s="24" t="str">
        <x:v>air_hit_refund_by_level</x:v>
      </x:c>
      <x:c r="F71" s="24" t="n">
        <x:v>2</x:v>
      </x:c>
      <x:c r="G71" s="24" t="str"/>
      <x:c r="H71" s="42" t="n">
        <x:v>15</x:v>
      </x:c>
      <x:c r="I71" s="24" t="str">
        <x:v>计数/模式</x:v>
      </x:c>
      <x:c r="J71" s="24" t="str">
        <x:v>机制确认/数值待试玩</x:v>
      </x:c>
      <x:c r="K71" s="24" t="str">
        <x:v>变更/新增</x:v>
      </x:c>
      <x:c r="L71" s="24" t="str">
        <x:v>空中命中补10/15/20时间能量很强，2秒上限与每腾空限额阻止无限停时。</x:v>
      </x:c>
      <x:c r="M71" s="24" t="str">
        <x:v>策划建议，尚未写入Godot</x:v>
      </x:c>
      <x:c r="N71" s="24" t="str">
        <x:v>https://github.com/zhipijun1996/gunman-rush/blob/26e7f2a4459623f35613a857da8a75e89daa3e62/resources/player/demo_ui_01/time_energy_v2.tres</x:v>
      </x:c>
    </x:row>
    <x:row r="72" ht="40" customHeight="1">
      <x:c r="A72" s="24" t="str">
        <x:v>B06</x:v>
      </x:c>
      <x:c r="B72" s="24" t="str">
        <x:v>回声小匣</x:v>
      </x:c>
      <x:c r="C72" s="24" t="str">
        <x:v>蓝色</x:v>
      </x:c>
      <x:c r="D72" s="24" t="n">
        <x:v>31</x:v>
      </x:c>
      <x:c r="E72" s="24" t="str">
        <x:v>air_hit_refund_by_level</x:v>
      </x:c>
      <x:c r="F72" s="24" t="n">
        <x:v>3</x:v>
      </x:c>
      <x:c r="G72" s="24" t="str"/>
      <x:c r="H72" s="42" t="n">
        <x:v>20</x:v>
      </x:c>
      <x:c r="I72" s="24" t="str">
        <x:v>计数/模式</x:v>
      </x:c>
      <x:c r="J72" s="24" t="str">
        <x:v>机制确认/数值待试玩</x:v>
      </x:c>
      <x:c r="K72" s="24" t="str">
        <x:v>变更/新增</x:v>
      </x:c>
      <x:c r="L72" s="24" t="str">
        <x:v>空中命中补10/15/20时间能量很强，2秒上限与每腾空限额阻止无限停时。</x:v>
      </x:c>
      <x:c r="M72" s="24" t="str">
        <x:v>策划建议，尚未写入Godot</x:v>
      </x:c>
      <x:c r="N72" s="24" t="str">
        <x:v>https://github.com/zhipijun1996/gunman-rush/blob/26e7f2a4459623f35613a857da8a75e89daa3e62/resources/player/demo_ui_01/time_energy_v2.tres</x:v>
      </x:c>
    </x:row>
    <x:row r="73" ht="40" customHeight="1">
      <x:c r="A73" s="24" t="str">
        <x:v>B06</x:v>
      </x:c>
      <x:c r="B73" s="24" t="str">
        <x:v>回声小匣</x:v>
      </x:c>
      <x:c r="C73" s="24" t="str">
        <x:v>蓝色</x:v>
      </x:c>
      <x:c r="D73" s="24" t="n">
        <x:v>31</x:v>
      </x:c>
      <x:c r="E73" s="24" t="str">
        <x:v>airtime_refund_cap_by_level</x:v>
      </x:c>
      <x:c r="F73" s="24" t="n">
        <x:v>1</x:v>
      </x:c>
      <x:c r="G73" s="24" t="str"/>
      <x:c r="H73" s="42" t="n">
        <x:v>20</x:v>
      </x:c>
      <x:c r="I73" s="24" t="str">
        <x:v>计数/模式</x:v>
      </x:c>
      <x:c r="J73" s="24" t="str">
        <x:v>机制确认/数值待试玩</x:v>
      </x:c>
      <x:c r="K73" s="24" t="str">
        <x:v>变更/新增</x:v>
      </x:c>
      <x:c r="L73" s="24" t="str">
        <x:v>空中命中补10/15/20时间能量很强，2秒上限与每腾空限额阻止无限停时。</x:v>
      </x:c>
      <x:c r="M73" s="24" t="str">
        <x:v>策划建议，尚未写入Godot</x:v>
      </x:c>
      <x:c r="N73" s="24" t="str">
        <x:v>https://github.com/zhipijun1996/gunman-rush/blob/26e7f2a4459623f35613a857da8a75e89daa3e62/resources/player/demo_ui_01/time_energy_v2.tres</x:v>
      </x:c>
    </x:row>
    <x:row r="74" ht="40" customHeight="1">
      <x:c r="A74" s="24" t="str">
        <x:v>B06</x:v>
      </x:c>
      <x:c r="B74" s="24" t="str">
        <x:v>回声小匣</x:v>
      </x:c>
      <x:c r="C74" s="24" t="str">
        <x:v>蓝色</x:v>
      </x:c>
      <x:c r="D74" s="24" t="n">
        <x:v>31</x:v>
      </x:c>
      <x:c r="E74" s="24" t="str">
        <x:v>airtime_refund_cap_by_level</x:v>
      </x:c>
      <x:c r="F74" s="24" t="n">
        <x:v>2</x:v>
      </x:c>
      <x:c r="G74" s="24" t="str"/>
      <x:c r="H74" s="42" t="n">
        <x:v>30</x:v>
      </x:c>
      <x:c r="I74" s="24" t="str">
        <x:v>计数/模式</x:v>
      </x:c>
      <x:c r="J74" s="24" t="str">
        <x:v>机制确认/数值待试玩</x:v>
      </x:c>
      <x:c r="K74" s="24" t="str">
        <x:v>变更/新增</x:v>
      </x:c>
      <x:c r="L74" s="24" t="str">
        <x:v>空中命中补10/15/20时间能量很强，2秒上限与每腾空限额阻止无限停时。</x:v>
      </x:c>
      <x:c r="M74" s="24" t="str">
        <x:v>策划建议，尚未写入Godot</x:v>
      </x:c>
      <x:c r="N74" s="24" t="str">
        <x:v>https://github.com/zhipijun1996/gunman-rush/blob/26e7f2a4459623f35613a857da8a75e89daa3e62/resources/player/demo_ui_01/time_energy_v2.tres</x:v>
      </x:c>
    </x:row>
    <x:row r="75" ht="40" customHeight="1">
      <x:c r="A75" s="24" t="str">
        <x:v>B06</x:v>
      </x:c>
      <x:c r="B75" s="24" t="str">
        <x:v>回声小匣</x:v>
      </x:c>
      <x:c r="C75" s="24" t="str">
        <x:v>蓝色</x:v>
      </x:c>
      <x:c r="D75" s="24" t="n">
        <x:v>31</x:v>
      </x:c>
      <x:c r="E75" s="24" t="str">
        <x:v>airtime_refund_cap_by_level</x:v>
      </x:c>
      <x:c r="F75" s="24" t="n">
        <x:v>3</x:v>
      </x:c>
      <x:c r="G75" s="24" t="str"/>
      <x:c r="H75" s="42" t="n">
        <x:v>40</x:v>
      </x:c>
      <x:c r="I75" s="24" t="str">
        <x:v>计数/模式</x:v>
      </x:c>
      <x:c r="J75" s="24" t="str">
        <x:v>机制确认/数值待试玩</x:v>
      </x:c>
      <x:c r="K75" s="24" t="str">
        <x:v>变更/新增</x:v>
      </x:c>
      <x:c r="L75" s="24" t="str">
        <x:v>空中命中补10/15/20时间能量很强，2秒上限与每腾空限额阻止无限停时。</x:v>
      </x:c>
      <x:c r="M75" s="24" t="str">
        <x:v>策划建议，尚未写入Godot</x:v>
      </x:c>
      <x:c r="N75" s="24" t="str">
        <x:v>https://github.com/zhipijun1996/gunman-rush/blob/26e7f2a4459623f35613a857da8a75e89daa3e62/resources/player/demo_ui_01/time_energy_v2.tres</x:v>
      </x:c>
    </x:row>
    <x:row r="76" ht="40" customHeight="1">
      <x:c r="A76" s="24" t="str">
        <x:v>B06</x:v>
      </x:c>
      <x:c r="B76" s="24" t="str">
        <x:v>回声小匣</x:v>
      </x:c>
      <x:c r="C76" s="24" t="str">
        <x:v>蓝色</x:v>
      </x:c>
      <x:c r="D76" s="24" t="n">
        <x:v>31</x:v>
      </x:c>
      <x:c r="E76" s="24" t="str">
        <x:v>unique_per_attack_packet</x:v>
      </x:c>
      <x:c r="F76" s="24" t="str">
        <x:v>通用</x:v>
      </x:c>
      <x:c r="G76" s="24" t="str"/>
      <x:c r="H76" s="42" t="n">
        <x:v>1</x:v>
      </x:c>
      <x:c r="I76" s="24" t="str">
        <x:v>计数/模式</x:v>
      </x:c>
      <x:c r="J76" s="24" t="str">
        <x:v>机制确认/数值待试玩</x:v>
      </x:c>
      <x:c r="K76" s="24" t="str">
        <x:v>变更/新增</x:v>
      </x:c>
      <x:c r="L76" s="24" t="str">
        <x:v>空中命中补10/15/20时间能量很强，2秒上限与每腾空限额阻止无限停时。</x:v>
      </x:c>
      <x:c r="M76" s="24" t="str">
        <x:v>策划建议，尚未写入Godot</x:v>
      </x:c>
      <x:c r="N76" s="24" t="str">
        <x:v>https://github.com/zhipijun1996/gunman-rush/blob/26e7f2a4459623f35613a857da8a75e89daa3e62/resources/player/demo_ui_01/time_energy_v2.tres</x:v>
      </x:c>
    </x:row>
    <x:row r="77" ht="40" customHeight="1">
      <x:c r="A77" s="24" t="str">
        <x:v>B09</x:v>
      </x:c>
      <x:c r="B77" s="24" t="str">
        <x:v>接地回路</x:v>
      </x:c>
      <x:c r="C77" s="24" t="str">
        <x:v>蓝色</x:v>
      </x:c>
      <x:c r="D77" s="24" t="n">
        <x:v>32</x:v>
      </x:c>
      <x:c r="E77" s="24" t="str">
        <x:v>focus_stamina_recovery_multiplier</x:v>
      </x:c>
      <x:c r="F77" s="24" t="str">
        <x:v>通用</x:v>
      </x:c>
      <x:c r="G77" s="24" t="n">
        <x:v>1.25</x:v>
      </x:c>
      <x:c r="H77" s="42" t="n">
        <x:v>1.25</x:v>
      </x:c>
      <x:c r="I77" s="24" t="str">
        <x:v>倍率</x:v>
      </x:c>
      <x:c r="J77" s="24" t="str">
        <x:v>机制确认/数值待试玩</x:v>
      </x:c>
      <x:c r="K77" s="24" t="str">
        <x:v>沿用</x:v>
      </x:c>
      <x:c r="L77" s="24" t="str">
        <x:v>地面回能30→37.5，相当于缩短整备，不影响空中持续时间上限。</x:v>
      </x:c>
      <x:c r="M77" s="24" t="str">
        <x:v>策划建议，尚未写入Godot</x:v>
      </x:c>
      <x:c r="N77" s="24" t="str">
        <x:v>https://github.com/zhipijun1996/gunman-rush/blob/26e7f2a4459623f35613a857da8a75e89daa3e62/resources/player/demo_ui_01/time_energy_v2.tres</x:v>
      </x:c>
    </x:row>
    <x:row r="78" ht="40" customHeight="1">
      <x:c r="A78" s="24" t="str">
        <x:v>B18</x:v>
      </x:c>
      <x:c r="B78" s="24" t="str">
        <x:v>捕魂音叉</x:v>
      </x:c>
      <x:c r="C78" s="24" t="str">
        <x:v>蓝色</x:v>
      </x:c>
      <x:c r="D78" s="24" t="n">
        <x:v>35</x:v>
      </x:c>
      <x:c r="E78" s="24" t="str">
        <x:v>extra_combat_energy_per_target_by_level</x:v>
      </x:c>
      <x:c r="F78" s="24" t="n">
        <x:v>1</x:v>
      </x:c>
      <x:c r="G78" s="24" t="n">
        <x:v>2</x:v>
      </x:c>
      <x:c r="H78" s="42" t="n">
        <x:v>2</x:v>
      </x:c>
      <x:c r="I78" s="24" t="str">
        <x:v>点/HP/金币</x:v>
      </x:c>
      <x:c r="J78" s="24" t="str">
        <x:v>机制确认/数值待试玩</x:v>
      </x:c>
      <x:c r="K78" s="24" t="str">
        <x:v>沿用</x:v>
      </x:c>
      <x:c r="L78" s="24" t="str">
        <x:v>7基础+2/+3/+4到9/10/11，受12攻击包上限约束；三级价总90金。</x:v>
      </x:c>
      <x:c r="M78" s="24" t="str">
        <x:v>策划建议，尚未写入Godot</x:v>
      </x:c>
      <x:c r="N78" s="24" t="str">
        <x:v>https://github.com/zhipijun1996/gunman-rush/blob/26e7f2a4459623f35613a857da8a75e89daa3e62/scripts/resources/state/combat_energy_state.gd</x:v>
      </x:c>
    </x:row>
    <x:row r="79" ht="40" customHeight="1">
      <x:c r="A79" s="24" t="str">
        <x:v>B18</x:v>
      </x:c>
      <x:c r="B79" s="24" t="str">
        <x:v>捕魂音叉</x:v>
      </x:c>
      <x:c r="C79" s="24" t="str">
        <x:v>蓝色</x:v>
      </x:c>
      <x:c r="D79" s="24" t="n">
        <x:v>35</x:v>
      </x:c>
      <x:c r="E79" s="24" t="str">
        <x:v>extra_combat_energy_per_target_by_level</x:v>
      </x:c>
      <x:c r="F79" s="24" t="n">
        <x:v>2</x:v>
      </x:c>
      <x:c r="G79" s="24" t="n">
        <x:v>2</x:v>
      </x:c>
      <x:c r="H79" s="42" t="n">
        <x:v>3</x:v>
      </x:c>
      <x:c r="I79" s="24" t="str">
        <x:v>点/HP/金币</x:v>
      </x:c>
      <x:c r="J79" s="24" t="str">
        <x:v>机制确认/数值待试玩</x:v>
      </x:c>
      <x:c r="K79" s="24" t="str">
        <x:v>变更/新增</x:v>
      </x:c>
      <x:c r="L79" s="24" t="str">
        <x:v>7基础+2/+3/+4到9/10/11，受12攻击包上限约束；三级价总90金。</x:v>
      </x:c>
      <x:c r="M79" s="24" t="str">
        <x:v>策划建议，尚未写入Godot</x:v>
      </x:c>
      <x:c r="N79" s="24" t="str">
        <x:v>https://github.com/zhipijun1996/gunman-rush/blob/26e7f2a4459623f35613a857da8a75e89daa3e62/scripts/resources/state/combat_energy_state.gd</x:v>
      </x:c>
    </x:row>
    <x:row r="80" ht="40" customHeight="1">
      <x:c r="A80" s="24" t="str">
        <x:v>B18</x:v>
      </x:c>
      <x:c r="B80" s="24" t="str">
        <x:v>捕魂音叉</x:v>
      </x:c>
      <x:c r="C80" s="24" t="str">
        <x:v>蓝色</x:v>
      </x:c>
      <x:c r="D80" s="24" t="n">
        <x:v>35</x:v>
      </x:c>
      <x:c r="E80" s="24" t="str">
        <x:v>extra_combat_energy_per_target_by_level</x:v>
      </x:c>
      <x:c r="F80" s="24" t="n">
        <x:v>3</x:v>
      </x:c>
      <x:c r="G80" s="24" t="n">
        <x:v>2</x:v>
      </x:c>
      <x:c r="H80" s="42" t="n">
        <x:v>4</x:v>
      </x:c>
      <x:c r="I80" s="24" t="str">
        <x:v>点/HP/金币</x:v>
      </x:c>
      <x:c r="J80" s="24" t="str">
        <x:v>机制确认/数值待试玩</x:v>
      </x:c>
      <x:c r="K80" s="24" t="str">
        <x:v>变更/新增</x:v>
      </x:c>
      <x:c r="L80" s="24" t="str">
        <x:v>7基础+2/+3/+4到9/10/11，受12攻击包上限约束；三级价总90金。</x:v>
      </x:c>
      <x:c r="M80" s="24" t="str">
        <x:v>策划建议，尚未写入Godot</x:v>
      </x:c>
      <x:c r="N80" s="24" t="str">
        <x:v>https://github.com/zhipijun1996/gunman-rush/blob/26e7f2a4459623f35613a857da8a75e89daa3e62/scripts/resources/state/combat_energy_state.gd</x:v>
      </x:c>
    </x:row>
    <x:row r="81" ht="40" customHeight="1">
      <x:c r="A81" s="24" t="str">
        <x:v>B18</x:v>
      </x:c>
      <x:c r="B81" s="24" t="str">
        <x:v>捕魂音叉</x:v>
      </x:c>
      <x:c r="C81" s="24" t="str">
        <x:v>蓝色</x:v>
      </x:c>
      <x:c r="D81" s="24" t="n">
        <x:v>35</x:v>
      </x:c>
      <x:c r="E81" s="24" t="str">
        <x:v>energy_packet_total_cap</x:v>
      </x:c>
      <x:c r="F81" s="24" t="str">
        <x:v>通用</x:v>
      </x:c>
      <x:c r="G81" s="24" t="str"/>
      <x:c r="H81" s="42" t="n">
        <x:v>12</x:v>
      </x:c>
      <x:c r="I81" s="24" t="str">
        <x:v>点/HP/金币</x:v>
      </x:c>
      <x:c r="J81" s="24" t="str">
        <x:v>机制确认/数值待试玩</x:v>
      </x:c>
      <x:c r="K81" s="24" t="str">
        <x:v>变更/新增</x:v>
      </x:c>
      <x:c r="L81" s="24" t="str">
        <x:v>7基础+2/+3/+4到9/10/11，受12攻击包上限约束；三级价总90金。</x:v>
      </x:c>
      <x:c r="M81" s="24" t="str">
        <x:v>策划建议，尚未写入Godot</x:v>
      </x:c>
      <x:c r="N81" s="24" t="str">
        <x:v>https://github.com/zhipijun1996/gunman-rush/blob/26e7f2a4459623f35613a857da8a75e89daa3e62/scripts/resources/state/combat_energy_state.gd</x:v>
      </x:c>
    </x:row>
    <x:row r="82" ht="40" customHeight="1">
      <x:c r="A82" s="24" t="str">
        <x:v>B26</x:v>
      </x:c>
      <x:c r="B82" s="24" t="str">
        <x:v>巨腹储鸣罐</x:v>
      </x:c>
      <x:c r="C82" s="24" t="str">
        <x:v>蓝色</x:v>
      </x:c>
      <x:c r="D82" s="24" t="n">
        <x:v>37</x:v>
      </x:c>
      <x:c r="E82" s="24" t="str">
        <x:v>max_resonance_add_by_level</x:v>
      </x:c>
      <x:c r="F82" s="24" t="n">
        <x:v>1</x:v>
      </x:c>
      <x:c r="G82" s="24" t="n">
        <x:v>40</x:v>
      </x:c>
      <x:c r="H82" s="42" t="n">
        <x:v>40</x:v>
      </x:c>
      <x:c r="I82" s="24" t="str">
        <x:v>点/HP/金币</x:v>
      </x:c>
      <x:c r="J82" s="24" t="str">
        <x:v>机制确认/数值待试玩</x:v>
      </x:c>
      <x:c r="K82" s="24" t="str">
        <x:v>沿用</x:v>
      </x:c>
      <x:c r="L82" s="24" t="str">
        <x:v>5槽换大容量140~180，不直接产能，强度依赖高频Lv3；价格33更合理。</x:v>
      </x:c>
      <x:c r="M82" s="24" t="str">
        <x:v>策划建议，尚未写入Godot</x:v>
      </x:c>
      <x:c r="N82" s="24" t="str">
        <x:v>https://github.com/zhipijun1996/gunman-rush/blob/26e7f2a4459623f35613a857da8a75e89daa3e62/scripts/resources/state/combat_energy_state.gd</x:v>
      </x:c>
    </x:row>
    <x:row r="83" ht="40" customHeight="1">
      <x:c r="A83" s="24" t="str">
        <x:v>B26</x:v>
      </x:c>
      <x:c r="B83" s="24" t="str">
        <x:v>巨腹储鸣罐</x:v>
      </x:c>
      <x:c r="C83" s="24" t="str">
        <x:v>蓝色</x:v>
      </x:c>
      <x:c r="D83" s="24" t="n">
        <x:v>37</x:v>
      </x:c>
      <x:c r="E83" s="24" t="str">
        <x:v>max_resonance_add_by_level</x:v>
      </x:c>
      <x:c r="F83" s="24" t="n">
        <x:v>2</x:v>
      </x:c>
      <x:c r="G83" s="24" t="n">
        <x:v>40</x:v>
      </x:c>
      <x:c r="H83" s="42" t="n">
        <x:v>60</x:v>
      </x:c>
      <x:c r="I83" s="24" t="str">
        <x:v>点/HP/金币</x:v>
      </x:c>
      <x:c r="J83" s="24" t="str">
        <x:v>机制确认/数值待试玩</x:v>
      </x:c>
      <x:c r="K83" s="24" t="str">
        <x:v>变更/新增</x:v>
      </x:c>
      <x:c r="L83" s="24" t="str">
        <x:v>5槽换大容量140~180，不直接产能，强度依赖高频Lv3；价格33更合理。</x:v>
      </x:c>
      <x:c r="M83" s="24" t="str">
        <x:v>策划建议，尚未写入Godot</x:v>
      </x:c>
      <x:c r="N83" s="24" t="str">
        <x:v>https://github.com/zhipijun1996/gunman-rush/blob/26e7f2a4459623f35613a857da8a75e89daa3e62/scripts/resources/state/combat_energy_state.gd</x:v>
      </x:c>
    </x:row>
    <x:row r="84" ht="40" customHeight="1">
      <x:c r="A84" s="24" t="str">
        <x:v>B26</x:v>
      </x:c>
      <x:c r="B84" s="24" t="str">
        <x:v>巨腹储鸣罐</x:v>
      </x:c>
      <x:c r="C84" s="24" t="str">
        <x:v>蓝色</x:v>
      </x:c>
      <x:c r="D84" s="24" t="n">
        <x:v>37</x:v>
      </x:c>
      <x:c r="E84" s="24" t="str">
        <x:v>max_resonance_add_by_level</x:v>
      </x:c>
      <x:c r="F84" s="24" t="n">
        <x:v>3</x:v>
      </x:c>
      <x:c r="G84" s="24" t="n">
        <x:v>40</x:v>
      </x:c>
      <x:c r="H84" s="42" t="n">
        <x:v>80</x:v>
      </x:c>
      <x:c r="I84" s="24" t="str">
        <x:v>点/HP/金币</x:v>
      </x:c>
      <x:c r="J84" s="24" t="str">
        <x:v>机制确认/数值待试玩</x:v>
      </x:c>
      <x:c r="K84" s="24" t="str">
        <x:v>变更/新增</x:v>
      </x:c>
      <x:c r="L84" s="24" t="str">
        <x:v>5槽换大容量140~180，不直接产能，强度依赖高频Lv3；价格33更合理。</x:v>
      </x:c>
      <x:c r="M84" s="24" t="str">
        <x:v>策划建议，尚未写入Godot</x:v>
      </x:c>
      <x:c r="N84" s="24" t="str">
        <x:v>https://github.com/zhipijun1996/gunman-rush/blob/26e7f2a4459623f35613a857da8a75e89daa3e62/scripts/resources/state/combat_energy_state.gd</x:v>
      </x:c>
    </x:row>
    <x:row r="85" ht="40" customHeight="1">
      <x:c r="A85" s="24" t="str">
        <x:v>P02</x:v>
      </x:c>
      <x:c r="B85" s="24" t="str">
        <x:v>共鸣整流器</x:v>
      </x:c>
      <x:c r="C85" s="24" t="str">
        <x:v>紫色</x:v>
      </x:c>
      <x:c r="D85" s="24" t="n">
        <x:v>38</x:v>
      </x:c>
      <x:c r="E85" s="24" t="str">
        <x:v>skill_combat_energy_cost_multiplier</x:v>
      </x:c>
      <x:c r="F85" s="24" t="str">
        <x:v>通用</x:v>
      </x:c>
      <x:c r="G85" s="24" t="n">
        <x:v>0.9</x:v>
      </x:c>
      <x:c r="H85" s="42" t="n">
        <x:v>0.9</x:v>
      </x:c>
      <x:c r="I85" s="24" t="str">
        <x:v>倍率</x:v>
      </x:c>
      <x:c r="J85" s="24" t="str">
        <x:v>机制确认/数值待试玩</x:v>
      </x:c>
      <x:c r="K85" s="24" t="str">
        <x:v>沿用</x:v>
      </x:c>
      <x:c r="L85" s="24" t="str">
        <x:v>共鸣成本60→54，10%减耗通常需多轮技能才回本，48金优于原74。</x:v>
      </x:c>
      <x:c r="M85" s="24" t="str">
        <x:v>策划建议，尚未写入Godot</x:v>
      </x:c>
      <x:c r="N85" s="24" t="str">
        <x:v>https://github.com/zhipijun1996/gunman-rush/blob/26e7f2a4459623f35613a857da8a75e89daa3e62/scripts/resources/state/combat_energy_state.gd</x:v>
      </x:c>
    </x:row>
    <x:row r="86" ht="40" customHeight="1">
      <x:c r="A86" s="24" t="str">
        <x:v>B33</x:v>
      </x:c>
      <x:c r="B86" s="24" t="str">
        <x:v>小焰触片</x:v>
      </x:c>
      <x:c r="C86" s="24" t="str">
        <x:v>蓝色</x:v>
      </x:c>
      <x:c r="D86" s="24" t="n">
        <x:v>39</x:v>
      </x:c>
      <x:c r="E86" s="24" t="str">
        <x:v>combat_energy_cost</x:v>
      </x:c>
      <x:c r="F86" s="24" t="str">
        <x:v>通用</x:v>
      </x:c>
      <x:c r="G86" s="24" t="n">
        <x:v>30</x:v>
      </x:c>
      <x:c r="H86" s="42" t="n">
        <x:v>30</x:v>
      </x:c>
      <x:c r="I86" s="24" t="str">
        <x:v>点/HP/金币</x:v>
      </x:c>
      <x:c r="J86" s="24" t="str">
        <x:v>机制确认/数值待试玩</x:v>
      </x:c>
      <x:c r="K86" s="24" t="str">
        <x:v>沿用</x:v>
      </x:c>
      <x:c r="L86" s="24" t="str">
        <x:v>1槽短CD爆炸主动很划算，但消耗30共鸣，非炸弹武器才出；三级达1.9D。</x:v>
      </x:c>
      <x:c r="M86" s="24" t="str">
        <x:v>策划建议，尚未写入Godot</x:v>
      </x:c>
      <x:c r="N86" s="24" t="str">
        <x:v>https://github.com/zhipijun1996/gunman-rush/blob/26e7f2a4459623f35613a857da8a75e89daa3e62/scripts/resources/state/combat_energy_state.gd</x:v>
      </x:c>
    </x:row>
    <x:row r="87" ht="40" customHeight="1">
      <x:c r="A87" s="24" t="str">
        <x:v>B33</x:v>
      </x:c>
      <x:c r="B87" s="24" t="str">
        <x:v>小焰触片</x:v>
      </x:c>
      <x:c r="C87" s="24" t="str">
        <x:v>蓝色</x:v>
      </x:c>
      <x:c r="D87" s="24" t="n">
        <x:v>39</x:v>
      </x:c>
      <x:c r="E87" s="24" t="str">
        <x:v>damage_ratio_D_by_level</x:v>
      </x:c>
      <x:c r="F87" s="24" t="n">
        <x:v>1</x:v>
      </x:c>
      <x:c r="G87" s="24" t="n">
        <x:v>1.1</x:v>
      </x:c>
      <x:c r="H87" s="42" t="n">
        <x:v>1.1</x:v>
      </x:c>
      <x:c r="I87" s="24" t="str">
        <x:v>倍率</x:v>
      </x:c>
      <x:c r="J87" s="24" t="str">
        <x:v>机制确认/数值待试玩</x:v>
      </x:c>
      <x:c r="K87" s="24" t="str">
        <x:v>沿用</x:v>
      </x:c>
      <x:c r="L87" s="24" t="str">
        <x:v>1槽短CD爆炸主动很划算，但消耗30共鸣，非炸弹武器才出；三级达1.9D。</x:v>
      </x:c>
      <x:c r="M87" s="24" t="str">
        <x:v>策划建议，尚未写入Godot</x:v>
      </x:c>
      <x:c r="N87" s="24" t="str">
        <x:v>https://github.com/zhipijun1996/gunman-rush/blob/26e7f2a4459623f35613a857da8a75e89daa3e62/scripts/resources/state/combat_energy_state.gd</x:v>
      </x:c>
    </x:row>
    <x:row r="88" ht="40" customHeight="1">
      <x:c r="A88" s="24" t="str">
        <x:v>B33</x:v>
      </x:c>
      <x:c r="B88" s="24" t="str">
        <x:v>小焰触片</x:v>
      </x:c>
      <x:c r="C88" s="24" t="str">
        <x:v>蓝色</x:v>
      </x:c>
      <x:c r="D88" s="24" t="n">
        <x:v>39</x:v>
      </x:c>
      <x:c r="E88" s="24" t="str">
        <x:v>damage_ratio_D_by_level</x:v>
      </x:c>
      <x:c r="F88" s="24" t="n">
        <x:v>2</x:v>
      </x:c>
      <x:c r="G88" s="24" t="n">
        <x:v>1.1</x:v>
      </x:c>
      <x:c r="H88" s="42" t="n">
        <x:v>1.5</x:v>
      </x:c>
      <x:c r="I88" s="24" t="str">
        <x:v>倍率</x:v>
      </x:c>
      <x:c r="J88" s="24" t="str">
        <x:v>机制确认/数值待试玩</x:v>
      </x:c>
      <x:c r="K88" s="24" t="str">
        <x:v>变更/新增</x:v>
      </x:c>
      <x:c r="L88" s="24" t="str">
        <x:v>1槽短CD爆炸主动很划算，但消耗30共鸣，非炸弹武器才出；三级达1.9D。</x:v>
      </x:c>
      <x:c r="M88" s="24" t="str">
        <x:v>策划建议，尚未写入Godot</x:v>
      </x:c>
      <x:c r="N88" s="24" t="str">
        <x:v>https://github.com/zhipijun1996/gunman-rush/blob/26e7f2a4459623f35613a857da8a75e89daa3e62/scripts/resources/state/combat_energy_state.gd</x:v>
      </x:c>
    </x:row>
    <x:row r="89" ht="40" customHeight="1">
      <x:c r="A89" s="24" t="str">
        <x:v>B33</x:v>
      </x:c>
      <x:c r="B89" s="24" t="str">
        <x:v>小焰触片</x:v>
      </x:c>
      <x:c r="C89" s="24" t="str">
        <x:v>蓝色</x:v>
      </x:c>
      <x:c r="D89" s="24" t="n">
        <x:v>39</x:v>
      </x:c>
      <x:c r="E89" s="24" t="str">
        <x:v>damage_ratio_D_by_level</x:v>
      </x:c>
      <x:c r="F89" s="24" t="n">
        <x:v>3</x:v>
      </x:c>
      <x:c r="G89" s="24" t="n">
        <x:v>1.1</x:v>
      </x:c>
      <x:c r="H89" s="42" t="n">
        <x:v>1.9</x:v>
      </x:c>
      <x:c r="I89" s="24" t="str">
        <x:v>倍率</x:v>
      </x:c>
      <x:c r="J89" s="24" t="str">
        <x:v>机制确认/数值待试玩</x:v>
      </x:c>
      <x:c r="K89" s="24" t="str">
        <x:v>变更/新增</x:v>
      </x:c>
      <x:c r="L89" s="24" t="str">
        <x:v>1槽短CD爆炸主动很划算，但消耗30共鸣，非炸弹武器才出；三级达1.9D。</x:v>
      </x:c>
      <x:c r="M89" s="24" t="str">
        <x:v>策划建议，尚未写入Godot</x:v>
      </x:c>
      <x:c r="N89" s="24" t="str">
        <x:v>https://github.com/zhipijun1996/gunman-rush/blob/26e7f2a4459623f35613a857da8a75e89daa3e62/scripts/resources/state/combat_energy_state.gd</x:v>
      </x:c>
    </x:row>
    <x:row r="90" ht="40" customHeight="1">
      <x:c r="A90" s="24" t="str">
        <x:v>B33</x:v>
      </x:c>
      <x:c r="B90" s="24" t="str">
        <x:v>小焰触片</x:v>
      </x:c>
      <x:c r="C90" s="24" t="str">
        <x:v>蓝色</x:v>
      </x:c>
      <x:c r="D90" s="24" t="n">
        <x:v>39</x:v>
      </x:c>
      <x:c r="E90" s="24" t="str">
        <x:v>radius_px</x:v>
      </x:c>
      <x:c r="F90" s="24" t="str">
        <x:v>通用</x:v>
      </x:c>
      <x:c r="G90" s="24" t="n">
        <x:v>80</x:v>
      </x:c>
      <x:c r="H90" s="42" t="n">
        <x:v>80</x:v>
      </x:c>
      <x:c r="I90" s="24" t="str">
        <x:v>世界单位</x:v>
      </x:c>
      <x:c r="J90" s="24" t="str">
        <x:v>机制确认/数值待试玩</x:v>
      </x:c>
      <x:c r="K90" s="24" t="str">
        <x:v>沿用</x:v>
      </x:c>
      <x:c r="L90" s="24" t="str">
        <x:v>1槽短CD爆炸主动很划算，但消耗30共鸣，非炸弹武器才出；三级达1.9D。</x:v>
      </x:c>
      <x:c r="M90" s="24" t="str">
        <x:v>策划建议，尚未写入Godot</x:v>
      </x:c>
      <x:c r="N90" s="24" t="str">
        <x:v>https://github.com/zhipijun1996/gunman-rush/blob/26e7f2a4459623f35613a857da8a75e89daa3e62/scripts/resources/state/combat_energy_state.gd</x:v>
      </x:c>
    </x:row>
    <x:row r="91" ht="40" customHeight="1">
      <x:c r="A91" s="24" t="str">
        <x:v>B33</x:v>
      </x:c>
      <x:c r="B91" s="24" t="str">
        <x:v>小焰触片</x:v>
      </x:c>
      <x:c r="C91" s="24" t="str">
        <x:v>蓝色</x:v>
      </x:c>
      <x:c r="D91" s="24" t="n">
        <x:v>39</x:v>
      </x:c>
      <x:c r="E91" s="24" t="str">
        <x:v>cooldown_s</x:v>
      </x:c>
      <x:c r="F91" s="24" t="str">
        <x:v>通用</x:v>
      </x:c>
      <x:c r="G91" s="24" t="str"/>
      <x:c r="H91" s="42" t="n">
        <x:v>10</x:v>
      </x:c>
      <x:c r="I91" s="24" t="str">
        <x:v>秒</x:v>
      </x:c>
      <x:c r="J91" s="24" t="str">
        <x:v>机制确认/数值待试玩</x:v>
      </x:c>
      <x:c r="K91" s="24" t="str">
        <x:v>变更/新增</x:v>
      </x:c>
      <x:c r="L91" s="24" t="str">
        <x:v>1槽短CD爆炸主动很划算，但消耗30共鸣，非炸弹武器才出；三级达1.9D。</x:v>
      </x:c>
      <x:c r="M91" s="24" t="str">
        <x:v>策划建议，尚未写入Godot</x:v>
      </x:c>
      <x:c r="N91" s="24" t="str">
        <x:v>https://github.com/zhipijun1996/gunman-rush/blob/26e7f2a4459623f35613a857da8a75e89daa3e62/scripts/resources/state/combat_energy_state.gd</x:v>
      </x:c>
    </x:row>
    <x:row r="92" ht="40" customHeight="1">
      <x:c r="A92" s="24" t="str">
        <x:v>B33</x:v>
      </x:c>
      <x:c r="B92" s="24" t="str">
        <x:v>小焰触片</x:v>
      </x:c>
      <x:c r="C92" s="24" t="str">
        <x:v>蓝色</x:v>
      </x:c>
      <x:c r="D92" s="24" t="n">
        <x:v>39</x:v>
      </x:c>
      <x:c r="E92" s="24" t="str">
        <x:v>exclude_weapon_family</x:v>
      </x:c>
      <x:c r="F92" s="24" t="str">
        <x:v>通用</x:v>
      </x:c>
      <x:c r="G92" s="24" t="str"/>
      <x:c r="H92" s="42" t="str">
        <x:v>BOMB</x:v>
      </x:c>
      <x:c r="I92" s="24" t="str">
        <x:v>计数/模式</x:v>
      </x:c>
      <x:c r="J92" s="24" t="str">
        <x:v>机制确认/数值待试玩</x:v>
      </x:c>
      <x:c r="K92" s="24" t="str">
        <x:v>变更/新增</x:v>
      </x:c>
      <x:c r="L92" s="24" t="str">
        <x:v>1槽短CD爆炸主动很划算，但消耗30共鸣，非炸弹武器才出；三级达1.9D。</x:v>
      </x:c>
      <x:c r="M92" s="24" t="str">
        <x:v>策划建议，尚未写入Godot</x:v>
      </x:c>
      <x:c r="N92" s="24" t="str">
        <x:v>https://github.com/zhipijun1996/gunman-rush/blob/26e7f2a4459623f35613a857da8a75e89daa3e62/scripts/resources/state/combat_energy_state.gd</x:v>
      </x:c>
    </x:row>
    <x:row r="93" ht="40" customHeight="1">
      <x:c r="A93" s="24" t="str">
        <x:v>P17</x:v>
      </x:c>
      <x:c r="B93" s="24" t="str">
        <x:v>游鸣聚能体</x:v>
      </x:c>
      <x:c r="C93" s="24" t="str">
        <x:v>紫色</x:v>
      </x:c>
      <x:c r="D93" s="24" t="n">
        <x:v>40</x:v>
      </x:c>
      <x:c r="E93" s="24" t="str">
        <x:v>charge_move_speed_multiplier_by_level</x:v>
      </x:c>
      <x:c r="F93" s="24" t="n">
        <x:v>1</x:v>
      </x:c>
      <x:c r="G93" s="24" t="n">
        <x:v>0.4</x:v>
      </x:c>
      <x:c r="H93" s="42" t="n">
        <x:v>0.4</x:v>
      </x:c>
      <x:c r="I93" s="24" t="str">
        <x:v>倍率</x:v>
      </x:c>
      <x:c r="J93" s="24" t="str">
        <x:v>机制确认/数值待试玩</x:v>
      </x:c>
      <x:c r="K93" s="24" t="str">
        <x:v>沿用</x:v>
      </x:c>
      <x:c r="L93" s="24" t="str">
        <x:v>Lv3蓄力期间40%/55%/70%地速移动，对短蓄力0.28秒收益有限；定价42。</x:v>
      </x:c>
      <x:c r="M93" s="24" t="str">
        <x:v>策划建议，尚未写入Godot</x:v>
      </x:c>
      <x:c r="N93" s="24" t="str">
        <x:v>https://github.com/zhipijun1996/gunman-rush/blob/26e7f2a4459623f35613a857da8a75e89daa3e62/scripts/combat/weapon_definition.gd</x:v>
      </x:c>
    </x:row>
    <x:row r="94" ht="40" customHeight="1">
      <x:c r="A94" s="24" t="str">
        <x:v>P17</x:v>
      </x:c>
      <x:c r="B94" s="24" t="str">
        <x:v>游鸣聚能体</x:v>
      </x:c>
      <x:c r="C94" s="24" t="str">
        <x:v>紫色</x:v>
      </x:c>
      <x:c r="D94" s="24" t="n">
        <x:v>40</x:v>
      </x:c>
      <x:c r="E94" s="24" t="str">
        <x:v>charge_move_speed_multiplier_by_level</x:v>
      </x:c>
      <x:c r="F94" s="24" t="n">
        <x:v>2</x:v>
      </x:c>
      <x:c r="G94" s="24" t="n">
        <x:v>0.4</x:v>
      </x:c>
      <x:c r="H94" s="42" t="n">
        <x:v>0.55</x:v>
      </x:c>
      <x:c r="I94" s="24" t="str">
        <x:v>倍率</x:v>
      </x:c>
      <x:c r="J94" s="24" t="str">
        <x:v>机制确认/数值待试玩</x:v>
      </x:c>
      <x:c r="K94" s="24" t="str">
        <x:v>变更/新增</x:v>
      </x:c>
      <x:c r="L94" s="24" t="str">
        <x:v>Lv3蓄力期间40%/55%/70%地速移动，对短蓄力0.28秒收益有限；定价42。</x:v>
      </x:c>
      <x:c r="M94" s="24" t="str">
        <x:v>策划建议，尚未写入Godot</x:v>
      </x:c>
      <x:c r="N94" s="24" t="str">
        <x:v>https://github.com/zhipijun1996/gunman-rush/blob/26e7f2a4459623f35613a857da8a75e89daa3e62/scripts/combat/weapon_definition.gd</x:v>
      </x:c>
    </x:row>
    <x:row r="95" ht="40" customHeight="1">
      <x:c r="A95" s="24" t="str">
        <x:v>P17</x:v>
      </x:c>
      <x:c r="B95" s="24" t="str">
        <x:v>游鸣聚能体</x:v>
      </x:c>
      <x:c r="C95" s="24" t="str">
        <x:v>紫色</x:v>
      </x:c>
      <x:c r="D95" s="24" t="n">
        <x:v>40</x:v>
      </x:c>
      <x:c r="E95" s="24" t="str">
        <x:v>charge_move_speed_multiplier_by_level</x:v>
      </x:c>
      <x:c r="F95" s="24" t="n">
        <x:v>3</x:v>
      </x:c>
      <x:c r="G95" s="24" t="n">
        <x:v>0.4</x:v>
      </x:c>
      <x:c r="H95" s="42" t="n">
        <x:v>0.7</x:v>
      </x:c>
      <x:c r="I95" s="24" t="str">
        <x:v>倍率</x:v>
      </x:c>
      <x:c r="J95" s="24" t="str">
        <x:v>机制确认/数值待试玩</x:v>
      </x:c>
      <x:c r="K95" s="24" t="str">
        <x:v>变更/新增</x:v>
      </x:c>
      <x:c r="L95" s="24" t="str">
        <x:v>Lv3蓄力期间40%/55%/70%地速移动，对短蓄力0.28秒收益有限；定价42。</x:v>
      </x:c>
      <x:c r="M95" s="24" t="str">
        <x:v>策划建议，尚未写入Godot</x:v>
      </x:c>
      <x:c r="N95" s="24" t="str">
        <x:v>https://github.com/zhipijun1996/gunman-rush/blob/26e7f2a4459623f35613a857da8a75e89daa3e62/scripts/combat/weapon_definition.gd</x:v>
      </x:c>
    </x:row>
    <x:row r="96" ht="40" customHeight="1">
      <x:c r="A96" s="24" t="str">
        <x:v>B11</x:v>
      </x:c>
      <x:c r="B96" s="24" t="str">
        <x:v>心室木匣</x:v>
      </x:c>
      <x:c r="C96" s="24" t="str">
        <x:v>蓝色</x:v>
      </x:c>
      <x:c r="D96" s="24" t="n">
        <x:v>41</x:v>
      </x:c>
      <x:c r="E96" s="24" t="str">
        <x:v>max_hp_add_by_level</x:v>
      </x:c>
      <x:c r="F96" s="24" t="n">
        <x:v>1</x:v>
      </x:c>
      <x:c r="G96" s="24" t="n">
        <x:v>1</x:v>
      </x:c>
      <x:c r="H96" s="42" t="n">
        <x:v>1</x:v>
      </x:c>
      <x:c r="I96" s="24" t="str">
        <x:v>点/HP/金币</x:v>
      </x:c>
      <x:c r="J96" s="24" t="str">
        <x:v>机制确认/数值待试玩</x:v>
      </x:c>
      <x:c r="K96" s="24" t="str">
        <x:v>沿用</x:v>
      </x:c>
      <x:c r="L96" s="24" t="str">
        <x:v>+1/+2/+3HP成长很稳，2槽升三级性价比高；不能免费加当前HP。</x:v>
      </x:c>
      <x:c r="M96" s="24" t="str">
        <x:v>策划建议，尚未写入Godot</x:v>
      </x:c>
      <x:c r="N96" s="24" t="str">
        <x:v>https://github.com/zhipijun1996/gunman-rush/blob/26e7f2a4459623f35613a857da8a75e89daa3e62/resources/actors/prototype_health.tres</x:v>
      </x:c>
    </x:row>
    <x:row r="97" ht="40" customHeight="1">
      <x:c r="A97" s="24" t="str">
        <x:v>B11</x:v>
      </x:c>
      <x:c r="B97" s="24" t="str">
        <x:v>心室木匣</x:v>
      </x:c>
      <x:c r="C97" s="24" t="str">
        <x:v>蓝色</x:v>
      </x:c>
      <x:c r="D97" s="24" t="n">
        <x:v>41</x:v>
      </x:c>
      <x:c r="E97" s="24" t="str">
        <x:v>max_hp_add_by_level</x:v>
      </x:c>
      <x:c r="F97" s="24" t="n">
        <x:v>2</x:v>
      </x:c>
      <x:c r="G97" s="24" t="n">
        <x:v>1</x:v>
      </x:c>
      <x:c r="H97" s="42" t="n">
        <x:v>2</x:v>
      </x:c>
      <x:c r="I97" s="24" t="str">
        <x:v>点/HP/金币</x:v>
      </x:c>
      <x:c r="J97" s="24" t="str">
        <x:v>机制确认/数值待试玩</x:v>
      </x:c>
      <x:c r="K97" s="24" t="str">
        <x:v>变更/新增</x:v>
      </x:c>
      <x:c r="L97" s="24" t="str">
        <x:v>+1/+2/+3HP成长很稳，2槽升三级性价比高；不能免费加当前HP。</x:v>
      </x:c>
      <x:c r="M97" s="24" t="str">
        <x:v>策划建议，尚未写入Godot</x:v>
      </x:c>
      <x:c r="N97" s="24" t="str">
        <x:v>https://github.com/zhipijun1996/gunman-rush/blob/26e7f2a4459623f35613a857da8a75e89daa3e62/resources/actors/prototype_health.tres</x:v>
      </x:c>
    </x:row>
    <x:row r="98" ht="40" customHeight="1">
      <x:c r="A98" s="24" t="str">
        <x:v>B11</x:v>
      </x:c>
      <x:c r="B98" s="24" t="str">
        <x:v>心室木匣</x:v>
      </x:c>
      <x:c r="C98" s="24" t="str">
        <x:v>蓝色</x:v>
      </x:c>
      <x:c r="D98" s="24" t="n">
        <x:v>41</x:v>
      </x:c>
      <x:c r="E98" s="24" t="str">
        <x:v>max_hp_add_by_level</x:v>
      </x:c>
      <x:c r="F98" s="24" t="n">
        <x:v>3</x:v>
      </x:c>
      <x:c r="G98" s="24" t="n">
        <x:v>1</x:v>
      </x:c>
      <x:c r="H98" s="42" t="n">
        <x:v>3</x:v>
      </x:c>
      <x:c r="I98" s="24" t="str">
        <x:v>点/HP/金币</x:v>
      </x:c>
      <x:c r="J98" s="24" t="str">
        <x:v>机制确认/数值待试玩</x:v>
      </x:c>
      <x:c r="K98" s="24" t="str">
        <x:v>变更/新增</x:v>
      </x:c>
      <x:c r="L98" s="24" t="str">
        <x:v>+1/+2/+3HP成长很稳，2槽升三级性价比高；不能免费加当前HP。</x:v>
      </x:c>
      <x:c r="M98" s="24" t="str">
        <x:v>策划建议，尚未写入Godot</x:v>
      </x:c>
      <x:c r="N98" s="24" t="str">
        <x:v>https://github.com/zhipijun1996/gunman-rush/blob/26e7f2a4459623f35613a857da8a75e89daa3e62/resources/actors/prototype_health.tres</x:v>
      </x:c>
    </x:row>
    <x:row r="99" ht="40" customHeight="1">
      <x:c r="A99" s="24" t="str">
        <x:v>B13</x:v>
      </x:c>
      <x:c r="B99" s="24" t="str">
        <x:v>晨露护片</x:v>
      </x:c>
      <x:c r="C99" s="24" t="str">
        <x:v>蓝色</x:v>
      </x:c>
      <x:c r="D99" s="24" t="n">
        <x:v>43</x:v>
      </x:c>
      <x:c r="E99" s="24" t="str">
        <x:v>map_start_barrier</x:v>
      </x:c>
      <x:c r="F99" s="24" t="str">
        <x:v>通用</x:v>
      </x:c>
      <x:c r="G99" s="24" t="n">
        <x:v>1</x:v>
      </x:c>
      <x:c r="H99" s="42" t="n">
        <x:v>1</x:v>
      </x:c>
      <x:c r="I99" s="24" t="str">
        <x:v>计数/模式</x:v>
      </x:c>
      <x:c r="J99" s="24" t="str">
        <x:v>机制确认/数值待试玩</x:v>
      </x:c>
      <x:c r="K99" s="24" t="str">
        <x:v>沿用</x:v>
      </x:c>
      <x:c r="L99" s="24" t="str">
        <x:v>跨图1护盾只触发新图一次；1槽虽强但短局仅两次，价格26。</x:v>
      </x:c>
      <x:c r="M99" s="24" t="str">
        <x:v>策划建议，尚未写入Godot</x:v>
      </x:c>
      <x:c r="N99" s="24" t="str">
        <x:v>https://github.com/zhipijun1996/gunman-rush/blob/26e7f2a4459623f35613a857da8a75e89daa3e62/scripts/combat/weapon_definition.gd</x:v>
      </x:c>
    </x:row>
    <x:row r="100" ht="40" customHeight="1">
      <x:c r="A100" s="24" t="str">
        <x:v>B14</x:v>
      </x:c>
      <x:c r="B100" s="24" t="str">
        <x:v>苦痛铃歌</x:v>
      </x:c>
      <x:c r="C100" s="24" t="str">
        <x:v>蓝色</x:v>
      </x:c>
      <x:c r="D100" s="24" t="n">
        <x:v>44</x:v>
      </x:c>
      <x:c r="E100" s="24" t="str">
        <x:v>combat_energy_gain_on_damage</x:v>
      </x:c>
      <x:c r="F100" s="24" t="str">
        <x:v>通用</x:v>
      </x:c>
      <x:c r="G100" s="24" t="n">
        <x:v>12</x:v>
      </x:c>
      <x:c r="H100" s="42" t="n">
        <x:v>12</x:v>
      </x:c>
      <x:c r="I100" s="24" t="str">
        <x:v>点/HP/金币</x:v>
      </x:c>
      <x:c r="J100" s="24" t="str">
        <x:v>机制确认/数值待试玩</x:v>
      </x:c>
      <x:c r="K100" s="24" t="str">
        <x:v>沿用</x:v>
      </x:c>
      <x:c r="L100" s="24" t="str">
        <x:v>失血才+12共鸣且CD7秒，可能鼓励冒险但无法自产循环。</x:v>
      </x:c>
      <x:c r="M100" s="24" t="str">
        <x:v>策划建议，尚未写入Godot</x:v>
      </x:c>
      <x:c r="N100" s="24" t="str">
        <x:v>https://github.com/zhipijun1996/gunman-rush/blob/26e7f2a4459623f35613a857da8a75e89daa3e62/scripts/resources/state/combat_energy_state.gd</x:v>
      </x:c>
    </x:row>
    <x:row r="101" ht="40" customHeight="1">
      <x:c r="A101" s="24" t="str">
        <x:v>B15</x:v>
      </x:c>
      <x:c r="B101" s="24" t="str">
        <x:v>荆棘铜衣</x:v>
      </x:c>
      <x:c r="C101" s="24" t="str">
        <x:v>蓝色</x:v>
      </x:c>
      <x:c r="D101" s="24" t="n">
        <x:v>45</x:v>
      </x:c>
      <x:c r="E101" s="24" t="str">
        <x:v>damage_ratio_D</x:v>
      </x:c>
      <x:c r="F101" s="24" t="str">
        <x:v>通用</x:v>
      </x:c>
      <x:c r="G101" s="24" t="n">
        <x:v>0.65</x:v>
      </x:c>
      <x:c r="H101" s="42" t="n">
        <x:v>0.65</x:v>
      </x:c>
      <x:c r="I101" s="24" t="str">
        <x:v>倍率</x:v>
      </x:c>
      <x:c r="J101" s="24" t="str">
        <x:v>机制确认/数值待试玩</x:v>
      </x:c>
      <x:c r="K101" s="24" t="str">
        <x:v>沿用</x:v>
      </x:c>
      <x:c r="L101" s="24" t="str">
        <x:v>反击半径78、0.65D在5HP环境很冒险，1槽维持可用性。</x:v>
      </x:c>
      <x:c r="M101" s="24" t="str">
        <x:v>策划建议，尚未写入Godot</x:v>
      </x:c>
      <x:c r="N101" s="24" t="str">
        <x:v>https://github.com/zhipijun1996/gunman-rush/blob/26e7f2a4459623f35613a857da8a75e89daa3e62/scripts/combat/weapon_definition.gd</x:v>
      </x:c>
    </x:row>
    <x:row r="102" ht="40" customHeight="1">
      <x:c r="A102" s="24" t="str">
        <x:v>B15</x:v>
      </x:c>
      <x:c r="B102" s="24" t="str">
        <x:v>荆棘铜衣</x:v>
      </x:c>
      <x:c r="C102" s="24" t="str">
        <x:v>蓝色</x:v>
      </x:c>
      <x:c r="D102" s="24" t="n">
        <x:v>45</x:v>
      </x:c>
      <x:c r="E102" s="24" t="str">
        <x:v>radius_px</x:v>
      </x:c>
      <x:c r="F102" s="24" t="str">
        <x:v>通用</x:v>
      </x:c>
      <x:c r="G102" s="24" t="n">
        <x:v>78</x:v>
      </x:c>
      <x:c r="H102" s="42" t="n">
        <x:v>78</x:v>
      </x:c>
      <x:c r="I102" s="24" t="str">
        <x:v>世界单位</x:v>
      </x:c>
      <x:c r="J102" s="24" t="str">
        <x:v>机制确认/数值待试玩</x:v>
      </x:c>
      <x:c r="K102" s="24" t="str">
        <x:v>沿用</x:v>
      </x:c>
      <x:c r="L102" s="24" t="str">
        <x:v>反击半径78、0.65D在5HP环境很冒险，1槽维持可用性。</x:v>
      </x:c>
      <x:c r="M102" s="24" t="str">
        <x:v>策划建议，尚未写入Godot</x:v>
      </x:c>
      <x:c r="N102" s="24" t="str">
        <x:v>https://github.com/zhipijun1996/gunman-rush/blob/26e7f2a4459623f35613a857da8a75e89daa3e62/scripts/combat/weapon_definition.gd</x:v>
      </x:c>
    </x:row>
    <x:row r="103" ht="40" customHeight="1">
      <x:c r="A103" s="24" t="str">
        <x:v>B27</x:v>
      </x:c>
      <x:c r="B103" s="24" t="str">
        <x:v>顽固护壳</x:v>
      </x:c>
      <x:c r="C103" s="24" t="str">
        <x:v>蓝色</x:v>
      </x:c>
      <x:c r="D103" s="24" t="n">
        <x:v>46</x:v>
      </x:c>
      <x:c r="E103" s="24" t="str">
        <x:v>invulnerable_add_s</x:v>
      </x:c>
      <x:c r="F103" s="24" t="str">
        <x:v>通用</x:v>
      </x:c>
      <x:c r="G103" s="24" t="n">
        <x:v>0.08</x:v>
      </x:c>
      <x:c r="H103" s="42" t="n">
        <x:v>0.08</x:v>
      </x:c>
      <x:c r="I103" s="24" t="str">
        <x:v>秒</x:v>
      </x:c>
      <x:c r="J103" s="24" t="str">
        <x:v>机制确认/数值待试玩</x:v>
      </x:c>
      <x:c r="K103" s="24" t="str">
        <x:v>沿用</x:v>
      </x:c>
      <x:c r="L103" s="24" t="str">
        <x:v>当前受伤反馈保护窗口较短，+0.08秒可以防连击但3槽偏重；暂维持等实际测试。</x:v>
      </x:c>
      <x:c r="M103" s="24" t="str">
        <x:v>策划建议，尚未写入Godot</x:v>
      </x:c>
      <x:c r="N103" s="24" t="str">
        <x:v>https://github.com/zhipijun1996/gunman-rush/blob/26e7f2a4459623f35613a857da8a75e89daa3e62/scripts/combat/weapon_definition.gd</x:v>
      </x:c>
    </x:row>
    <x:row r="104" ht="40" customHeight="1">
      <x:c r="A104" s="24" t="str">
        <x:v>B30</x:v>
      </x:c>
      <x:c r="B104" s="24" t="str">
        <x:v>易裂心匣</x:v>
      </x:c>
      <x:c r="C104" s="24" t="str">
        <x:v>蓝色</x:v>
      </x:c>
      <x:c r="D104" s="24" t="n">
        <x:v>47</x:v>
      </x:c>
      <x:c r="E104" s="24" t="str">
        <x:v>max_hp_add</x:v>
      </x:c>
      <x:c r="F104" s="24" t="str">
        <x:v>通用</x:v>
      </x:c>
      <x:c r="G104" s="24" t="n">
        <x:v>3</x:v>
      </x:c>
      <x:c r="H104" s="42" t="n">
        <x:v>3</x:v>
      </x:c>
      <x:c r="I104" s="24" t="str">
        <x:v>点/HP/金币</x:v>
      </x:c>
      <x:c r="J104" s="24" t="str">
        <x:v>机制确认/数值待试玩</x:v>
      </x:c>
      <x:c r="K104" s="24" t="str">
        <x:v>沿用</x:v>
      </x:c>
      <x:c r="L104" s="24" t="str">
        <x:v>+3HP但3次受伤即碎；对5HP基础显著，价格28、修复18保留风险。</x:v>
      </x:c>
      <x:c r="M104" s="24" t="str">
        <x:v>策划建议，尚未写入Godot</x:v>
      </x:c>
      <x:c r="N104" s="24" t="str">
        <x:v>https://github.com/zhipijun1996/gunman-rush/blob/26e7f2a4459623f35613a857da8a75e89daa3e62/resources/actors/prototype_health.tres</x:v>
      </x:c>
    </x:row>
    <x:row r="105" ht="40" customHeight="1">
      <x:c r="A105" s="24" t="str">
        <x:v>B30</x:v>
      </x:c>
      <x:c r="B105" s="24" t="str">
        <x:v>易裂心匣</x:v>
      </x:c>
      <x:c r="C105" s="24" t="str">
        <x:v>蓝色</x:v>
      </x:c>
      <x:c r="D105" s="24" t="n">
        <x:v>47</x:v>
      </x:c>
      <x:c r="E105" s="24" t="str">
        <x:v>break_on_hits</x:v>
      </x:c>
      <x:c r="F105" s="24" t="str">
        <x:v>通用</x:v>
      </x:c>
      <x:c r="G105" s="24" t="n">
        <x:v>1</x:v>
      </x:c>
      <x:c r="H105" s="42" t="n">
        <x:v>3</x:v>
      </x:c>
      <x:c r="I105" s="24" t="str">
        <x:v>计数/模式</x:v>
      </x:c>
      <x:c r="J105" s="24" t="str">
        <x:v>机制确认/数值待试玩</x:v>
      </x:c>
      <x:c r="K105" s="24" t="str">
        <x:v>变更/新增</x:v>
      </x:c>
      <x:c r="L105" s="24" t="str">
        <x:v>+3HP但3次受伤即碎；对5HP基础显著，价格28、修复18保留风险。</x:v>
      </x:c>
      <x:c r="M105" s="24" t="str">
        <x:v>策划建议，尚未写入Godot</x:v>
      </x:c>
      <x:c r="N105" s="24" t="str">
        <x:v>https://github.com/zhipijun1996/gunman-rush/blob/26e7f2a4459623f35613a857da8a75e89daa3e62/resources/actors/prototype_health.tres</x:v>
      </x:c>
    </x:row>
    <x:row r="106" ht="40" customHeight="1">
      <x:c r="A106" s="24" t="str">
        <x:v>B30</x:v>
      </x:c>
      <x:c r="B106" s="24" t="str">
        <x:v>易裂心匣</x:v>
      </x:c>
      <x:c r="C106" s="24" t="str">
        <x:v>蓝色</x:v>
      </x:c>
      <x:c r="D106" s="24" t="n">
        <x:v>47</x:v>
      </x:c>
      <x:c r="E106" s="24" t="str">
        <x:v>repair_price</x:v>
      </x:c>
      <x:c r="F106" s="24" t="str">
        <x:v>通用</x:v>
      </x:c>
      <x:c r="G106" s="24" t="n">
        <x:v>18</x:v>
      </x:c>
      <x:c r="H106" s="42" t="n">
        <x:v>18</x:v>
      </x:c>
      <x:c r="I106" s="24" t="str">
        <x:v>点/HP/金币</x:v>
      </x:c>
      <x:c r="J106" s="24" t="str">
        <x:v>机制确认/数值待试玩</x:v>
      </x:c>
      <x:c r="K106" s="24" t="str">
        <x:v>沿用</x:v>
      </x:c>
      <x:c r="L106" s="24" t="str">
        <x:v>+3HP但3次受伤即碎；对5HP基础显著，价格28、修复18保留风险。</x:v>
      </x:c>
      <x:c r="M106" s="24" t="str">
        <x:v>策划建议，尚未写入Godot</x:v>
      </x:c>
      <x:c r="N106" s="24" t="str">
        <x:v>https://github.com/zhipijun1996/gunman-rush/blob/26e7f2a4459623f35613a857da8a75e89daa3e62/resources/actors/prototype_health.tres</x:v>
      </x:c>
    </x:row>
    <x:row r="107" ht="40" customHeight="1">
      <x:c r="A107" s="24" t="str">
        <x:v>B32</x:v>
      </x:c>
      <x:c r="B107" s="24" t="str">
        <x:v>晨蓝洪流</x:v>
      </x:c>
      <x:c r="C107" s="24" t="str">
        <x:v>蓝色</x:v>
      </x:c>
      <x:c r="D107" s="24" t="n">
        <x:v>48</x:v>
      </x:c>
      <x:c r="E107" s="24" t="str">
        <x:v>map_start_barrier</x:v>
      </x:c>
      <x:c r="F107" s="24" t="str">
        <x:v>通用</x:v>
      </x:c>
      <x:c r="G107" s="24" t="n">
        <x:v>2</x:v>
      </x:c>
      <x:c r="H107" s="42" t="n">
        <x:v>2</x:v>
      </x:c>
      <x:c r="I107" s="24" t="str">
        <x:v>计数/模式</x:v>
      </x:c>
      <x:c r="J107" s="24" t="str">
        <x:v>机制确认/数值待试玩</x:v>
      </x:c>
      <x:c r="K107" s="24" t="str">
        <x:v>沿用</x:v>
      </x:c>
      <x:c r="L107" s="24" t="str">
        <x:v>入场2护盾，4槽较高但短图多用价值极大，价格33。</x:v>
      </x:c>
      <x:c r="M107" s="24" t="str">
        <x:v>策划建议，尚未写入Godot</x:v>
      </x:c>
      <x:c r="N107" s="24" t="str">
        <x:v>https://github.com/zhipijun1996/gunman-rush/blob/26e7f2a4459623f35613a857da8a75e89daa3e62/scripts/combat/weapon_definition.gd</x:v>
      </x:c>
    </x:row>
    <x:row r="108" ht="40" customHeight="1">
      <x:c r="A108" s="24" t="str">
        <x:v>P18</x:v>
      </x:c>
      <x:c r="B108" s="24" t="str">
        <x:v>暮钟心契</x:v>
      </x:c>
      <x:c r="C108" s="24" t="str">
        <x:v>紫色</x:v>
      </x:c>
      <x:c r="D108" s="24" t="n">
        <x:v>49</x:v>
      </x:c>
      <x:c r="E108" s="24" t="str">
        <x:v>max_hp_multiplier</x:v>
      </x:c>
      <x:c r="F108" s="24" t="str">
        <x:v>通用</x:v>
      </x:c>
      <x:c r="G108" s="24" t="n">
        <x:v>1.25</x:v>
      </x:c>
      <x:c r="H108" s="42" t="n">
        <x:v>2</x:v>
      </x:c>
      <x:c r="I108" s="24" t="str">
        <x:v>倍率</x:v>
      </x:c>
      <x:c r="J108" s="24" t="str">
        <x:v>机制确认/数值待试玩</x:v>
      </x:c>
      <x:c r="K108" s="24" t="str">
        <x:v>变更/新增</x:v>
      </x:c>
      <x:c r="L108" s="24" t="str">
        <x:v>最大HP翻倍但治疗彻底封锁且不能卸下，改4槽、88金，入装时按比例转HP仅一次。</x:v>
      </x:c>
      <x:c r="M108" s="24" t="str">
        <x:v>策划建议，尚未写入Godot</x:v>
      </x:c>
      <x:c r="N108" s="24" t="str">
        <x:v>https://github.com/zhipijun1996/gunman-rush/blob/26e7f2a4459623f35613a857da8a75e89daa3e62/resources/actors/prototype_health.tres</x:v>
      </x:c>
    </x:row>
    <x:row r="109" ht="40" customHeight="1">
      <x:c r="A109" s="24" t="str">
        <x:v>P18</x:v>
      </x:c>
      <x:c r="B109" s="24" t="str">
        <x:v>暮钟心契</x:v>
      </x:c>
      <x:c r="C109" s="24" t="str">
        <x:v>紫色</x:v>
      </x:c>
      <x:c r="D109" s="24" t="n">
        <x:v>49</x:v>
      </x:c>
      <x:c r="E109" s="24" t="str">
        <x:v>normal_healing_multiplier</x:v>
      </x:c>
      <x:c r="F109" s="24" t="str">
        <x:v>通用</x:v>
      </x:c>
      <x:c r="G109" s="24" t="n">
        <x:v>0</x:v>
      </x:c>
      <x:c r="H109" s="42" t="n">
        <x:v>0</x:v>
      </x:c>
      <x:c r="I109" s="24" t="str">
        <x:v>倍率</x:v>
      </x:c>
      <x:c r="J109" s="24" t="str">
        <x:v>机制确认/数值待试玩</x:v>
      </x:c>
      <x:c r="K109" s="24" t="str">
        <x:v>沿用</x:v>
      </x:c>
      <x:c r="L109" s="24" t="str">
        <x:v>最大HP翻倍但治疗彻底封锁且不能卸下，改4槽、88金，入装时按比例转HP仅一次。</x:v>
      </x:c>
      <x:c r="M109" s="24" t="str">
        <x:v>策划建议，尚未写入Godot</x:v>
      </x:c>
      <x:c r="N109" s="24" t="str">
        <x:v>https://github.com/zhipijun1996/gunman-rush/blob/26e7f2a4459623f35613a857da8a75e89daa3e62/resources/actors/prototype_health.tres</x:v>
      </x:c>
    </x:row>
    <x:row r="110" ht="40" customHeight="1">
      <x:c r="A110" s="24" t="str">
        <x:v>P18</x:v>
      </x:c>
      <x:c r="B110" s="24" t="str">
        <x:v>暮钟心契</x:v>
      </x:c>
      <x:c r="C110" s="24" t="str">
        <x:v>紫色</x:v>
      </x:c>
      <x:c r="D110" s="24" t="n">
        <x:v>49</x:v>
      </x:c>
      <x:c r="E110" s="24" t="str">
        <x:v>locked_until_run_end</x:v>
      </x:c>
      <x:c r="F110" s="24" t="str">
        <x:v>通用</x:v>
      </x:c>
      <x:c r="G110" s="24" t="str"/>
      <x:c r="H110" s="42" t="n">
        <x:v>1</x:v>
      </x:c>
      <x:c r="I110" s="24" t="str">
        <x:v>计数/模式</x:v>
      </x:c>
      <x:c r="J110" s="24" t="str">
        <x:v>机制确认/数值待试玩</x:v>
      </x:c>
      <x:c r="K110" s="24" t="str">
        <x:v>变更/新增</x:v>
      </x:c>
      <x:c r="L110" s="24" t="str">
        <x:v>最大HP翻倍但治疗彻底封锁且不能卸下，改4槽、88金，入装时按比例转HP仅一次。</x:v>
      </x:c>
      <x:c r="M110" s="24" t="str">
        <x:v>策划建议，尚未写入Godot</x:v>
      </x:c>
      <x:c r="N110" s="24" t="str">
        <x:v>https://github.com/zhipijun1996/gunman-rush/blob/26e7f2a4459623f35613a857da8a75e89daa3e62/resources/actors/prototype_health.tres</x:v>
      </x:c>
    </x:row>
    <x:row r="111" ht="40" customHeight="1">
      <x:c r="A111" s="24" t="str">
        <x:v>P18</x:v>
      </x:c>
      <x:c r="B111" s="24" t="str">
        <x:v>暮钟心契</x:v>
      </x:c>
      <x:c r="C111" s="24" t="str">
        <x:v>紫色</x:v>
      </x:c>
      <x:c r="D111" s="24" t="n">
        <x:v>49</x:v>
      </x:c>
      <x:c r="E111" s="24" t="str">
        <x:v>first_equip_current_hp_ratio_convert</x:v>
      </x:c>
      <x:c r="F111" s="24" t="str">
        <x:v>通用</x:v>
      </x:c>
      <x:c r="G111" s="24" t="str"/>
      <x:c r="H111" s="42" t="n">
        <x:v>1</x:v>
      </x:c>
      <x:c r="I111" s="24" t="str">
        <x:v>倍率</x:v>
      </x:c>
      <x:c r="J111" s="24" t="str">
        <x:v>机制确认/数值待试玩</x:v>
      </x:c>
      <x:c r="K111" s="24" t="str">
        <x:v>变更/新增</x:v>
      </x:c>
      <x:c r="L111" s="24" t="str">
        <x:v>最大HP翻倍但治疗彻底封锁且不能卸下，改4槽、88金，入装时按比例转HP仅一次。</x:v>
      </x:c>
      <x:c r="M111" s="24" t="str">
        <x:v>策划建议，尚未写入Godot</x:v>
      </x:c>
      <x:c r="N111" s="24" t="str">
        <x:v>https://github.com/zhipijun1996/gunman-rush/blob/26e7f2a4459623f35613a857da8a75e89daa3e62/resources/actors/prototype_health.tres</x:v>
      </x:c>
    </x:row>
    <x:row r="112" ht="40" customHeight="1">
      <x:c r="A112" s="24" t="str">
        <x:v>P20</x:v>
      </x:c>
      <x:c r="B112" s="24" t="str">
        <x:v>残影晶刺</x:v>
      </x:c>
      <x:c r="C112" s="24" t="str">
        <x:v>紫色</x:v>
      </x:c>
      <x:c r="D112" s="24" t="n">
        <x:v>51</x:v>
      </x:c>
      <x:c r="E112" s="24" t="str">
        <x:v>crystal_lifetime_s</x:v>
      </x:c>
      <x:c r="F112" s="24" t="str">
        <x:v>通用</x:v>
      </x:c>
      <x:c r="G112" s="24" t="n">
        <x:v>5</x:v>
      </x:c>
      <x:c r="H112" s="42" t="n">
        <x:v>5</x:v>
      </x:c>
      <x:c r="I112" s="24" t="str">
        <x:v>秒</x:v>
      </x:c>
      <x:c r="J112" s="24" t="str">
        <x:v>机制确认/数值待试玩</x:v>
      </x:c>
      <x:c r="K112" s="24" t="str">
        <x:v>沿用</x:v>
      </x:c>
      <x:c r="L112" s="24" t="str">
        <x:v>失血后留晶体需敌人再接触，0.6D与12秒CD收益低，49金。</x:v>
      </x:c>
      <x:c r="M112" s="24" t="str">
        <x:v>策划建议，尚未写入Godot</x:v>
      </x:c>
      <x:c r="N112" s="24" t="str">
        <x:v>https://github.com/zhipijun1996/gunman-rush/blob/26e7f2a4459623f35613a857da8a75e89daa3e62/scripts/combat/weapon_definition.gd</x:v>
      </x:c>
    </x:row>
    <x:row r="113" ht="40" customHeight="1">
      <x:c r="A113" s="24" t="str">
        <x:v>P20</x:v>
      </x:c>
      <x:c r="B113" s="24" t="str">
        <x:v>残影晶刺</x:v>
      </x:c>
      <x:c r="C113" s="24" t="str">
        <x:v>紫色</x:v>
      </x:c>
      <x:c r="D113" s="24" t="n">
        <x:v>51</x:v>
      </x:c>
      <x:c r="E113" s="24" t="str">
        <x:v>contact_damage_ratio_D</x:v>
      </x:c>
      <x:c r="F113" s="24" t="str">
        <x:v>通用</x:v>
      </x:c>
      <x:c r="G113" s="24" t="n">
        <x:v>0.6</x:v>
      </x:c>
      <x:c r="H113" s="42" t="n">
        <x:v>0.6</x:v>
      </x:c>
      <x:c r="I113" s="24" t="str">
        <x:v>倍率</x:v>
      </x:c>
      <x:c r="J113" s="24" t="str">
        <x:v>机制确认/数值待试玩</x:v>
      </x:c>
      <x:c r="K113" s="24" t="str">
        <x:v>沿用</x:v>
      </x:c>
      <x:c r="L113" s="24" t="str">
        <x:v>失血后留晶体需敌人再接触，0.6D与12秒CD收益低，49金。</x:v>
      </x:c>
      <x:c r="M113" s="24" t="str">
        <x:v>策划建议，尚未写入Godot</x:v>
      </x:c>
      <x:c r="N113" s="24" t="str">
        <x:v>https://github.com/zhipijun1996/gunman-rush/blob/26e7f2a4459623f35613a857da8a75e89daa3e62/scripts/combat/weapon_definition.gd</x:v>
      </x:c>
    </x:row>
    <x:row r="114" ht="40" customHeight="1">
      <x:c r="A114" s="24" t="str">
        <x:v>P26</x:v>
      </x:c>
      <x:c r="B114" s="24" t="str">
        <x:v>回声护幕</x:v>
      </x:c>
      <x:c r="C114" s="24" t="str">
        <x:v>紫色</x:v>
      </x:c>
      <x:c r="D114" s="24" t="n">
        <x:v>52</x:v>
      </x:c>
      <x:c r="E114" s="24" t="str">
        <x:v>combat_energy_cost</x:v>
      </x:c>
      <x:c r="F114" s="24" t="str">
        <x:v>通用</x:v>
      </x:c>
      <x:c r="G114" s="24" t="n">
        <x:v>40</x:v>
      </x:c>
      <x:c r="H114" s="42" t="n">
        <x:v>80</x:v>
      </x:c>
      <x:c r="I114" s="24" t="str">
        <x:v>点/HP/金币</x:v>
      </x:c>
      <x:c r="J114" s="24" t="str">
        <x:v>机制确认/数值待试玩</x:v>
      </x:c>
      <x:c r="K114" s="24" t="str">
        <x:v>变更/新增</x:v>
      </x:c>
      <x:c r="L114" s="24" t="str">
        <x:v>主动3秒绝对防HP伤害，CD30秒+80共鸣的防护价值高，73金不必过贵。</x:v>
      </x:c>
      <x:c r="M114" s="24" t="str">
        <x:v>策划建议，尚未写入Godot</x:v>
      </x:c>
      <x:c r="N114" s="24" t="str">
        <x:v>https://github.com/zhipijun1996/gunman-rush/blob/26e7f2a4459623f35613a857da8a75e89daa3e62/scripts/resources/state/combat_energy_state.gd</x:v>
      </x:c>
    </x:row>
    <x:row r="115" ht="40" customHeight="1">
      <x:c r="A115" s="24" t="str">
        <x:v>P26</x:v>
      </x:c>
      <x:c r="B115" s="24" t="str">
        <x:v>回声护幕</x:v>
      </x:c>
      <x:c r="C115" s="24" t="str">
        <x:v>紫色</x:v>
      </x:c>
      <x:c r="D115" s="24" t="n">
        <x:v>52</x:v>
      </x:c>
      <x:c r="E115" s="24" t="str">
        <x:v>invulnerable_duration_real_active_s</x:v>
      </x:c>
      <x:c r="F115" s="24" t="str">
        <x:v>通用</x:v>
      </x:c>
      <x:c r="G115" s="24" t="str"/>
      <x:c r="H115" s="42" t="n">
        <x:v>3</x:v>
      </x:c>
      <x:c r="I115" s="24" t="str">
        <x:v>倍率</x:v>
      </x:c>
      <x:c r="J115" s="24" t="str">
        <x:v>机制确认/数值待试玩</x:v>
      </x:c>
      <x:c r="K115" s="24" t="str">
        <x:v>变更/新增</x:v>
      </x:c>
      <x:c r="L115" s="24" t="str">
        <x:v>主动3秒绝对防HP伤害，CD30秒+80共鸣的防护价值高，73金不必过贵。</x:v>
      </x:c>
      <x:c r="M115" s="24" t="str">
        <x:v>策划建议，尚未写入Godot</x:v>
      </x:c>
      <x:c r="N115" s="24" t="str">
        <x:v>https://github.com/zhipijun1996/gunman-rush/blob/26e7f2a4459623f35613a857da8a75e89daa3e62/scripts/resources/state/combat_energy_state.gd</x:v>
      </x:c>
    </x:row>
    <x:row r="116" ht="40" customHeight="1">
      <x:c r="A116" s="24" t="str">
        <x:v>P26</x:v>
      </x:c>
      <x:c r="B116" s="24" t="str">
        <x:v>回声护幕</x:v>
      </x:c>
      <x:c r="C116" s="24" t="str">
        <x:v>紫色</x:v>
      </x:c>
      <x:c r="D116" s="24" t="n">
        <x:v>52</x:v>
      </x:c>
      <x:c r="E116" s="24" t="str">
        <x:v>cooldown_s</x:v>
      </x:c>
      <x:c r="F116" s="24" t="str">
        <x:v>通用</x:v>
      </x:c>
      <x:c r="G116" s="24" t="str"/>
      <x:c r="H116" s="42" t="n">
        <x:v>30</x:v>
      </x:c>
      <x:c r="I116" s="24" t="str">
        <x:v>秒</x:v>
      </x:c>
      <x:c r="J116" s="24" t="str">
        <x:v>机制确认/数值待试玩</x:v>
      </x:c>
      <x:c r="K116" s="24" t="str">
        <x:v>变更/新增</x:v>
      </x:c>
      <x:c r="L116" s="24" t="str">
        <x:v>主动3秒绝对防HP伤害，CD30秒+80共鸣的防护价值高，73金不必过贵。</x:v>
      </x:c>
      <x:c r="M116" s="24" t="str">
        <x:v>策划建议，尚未写入Godot</x:v>
      </x:c>
      <x:c r="N116" s="24" t="str">
        <x:v>https://github.com/zhipijun1996/gunman-rush/blob/26e7f2a4459623f35613a857da8a75e89daa3e62/scripts/resources/state/combat_energy_state.gd</x:v>
      </x:c>
    </x:row>
    <x:row r="117" ht="40" customHeight="1">
      <x:c r="A117" s="24" t="str">
        <x:v>P26</x:v>
      </x:c>
      <x:c r="B117" s="24" t="str">
        <x:v>回声护幕</x:v>
      </x:c>
      <x:c r="C117" s="24" t="str">
        <x:v>紫色</x:v>
      </x:c>
      <x:c r="D117" s="24" t="n">
        <x:v>52</x:v>
      </x:c>
      <x:c r="E117" s="24" t="str">
        <x:v>forced_failure_immunity</x:v>
      </x:c>
      <x:c r="F117" s="24" t="str">
        <x:v>通用</x:v>
      </x:c>
      <x:c r="G117" s="24" t="str"/>
      <x:c r="H117" s="42" t="n">
        <x:v>0</x:v>
      </x:c>
      <x:c r="I117" s="24" t="str">
        <x:v>计数/模式</x:v>
      </x:c>
      <x:c r="J117" s="24" t="str">
        <x:v>机制确认/数值待试玩</x:v>
      </x:c>
      <x:c r="K117" s="24" t="str">
        <x:v>变更/新增</x:v>
      </x:c>
      <x:c r="L117" s="24" t="str">
        <x:v>主动3秒绝对防HP伤害，CD30秒+80共鸣的防护价值高，73金不必过贵。</x:v>
      </x:c>
      <x:c r="M117" s="24" t="str">
        <x:v>策划建议，尚未写入Godot</x:v>
      </x:c>
      <x:c r="N117" s="24" t="str">
        <x:v>https://github.com/zhipijun1996/gunman-rush/blob/26e7f2a4459623f35613a857da8a75e89daa3e62/scripts/resources/state/combat_energy_state.gd</x:v>
      </x:c>
    </x:row>
    <x:row r="118" ht="40" customHeight="1">
      <x:c r="A118" s="24" t="str">
        <x:v>P27</x:v>
      </x:c>
      <x:c r="B118" s="24" t="str">
        <x:v>随身修补针</x:v>
      </x:c>
      <x:c r="C118" s="24" t="str">
        <x:v>紫色</x:v>
      </x:c>
      <x:c r="D118" s="24" t="n">
        <x:v>53</x:v>
      </x:c>
      <x:c r="E118" s="24" t="str">
        <x:v>combat_energy_cost</x:v>
      </x:c>
      <x:c r="F118" s="24" t="str">
        <x:v>通用</x:v>
      </x:c>
      <x:c r="G118" s="24" t="n">
        <x:v>65</x:v>
      </x:c>
      <x:c r="H118" s="42" t="n">
        <x:v>65</x:v>
      </x:c>
      <x:c r="I118" s="24" t="str">
        <x:v>点/HP/金币</x:v>
      </x:c>
      <x:c r="J118" s="24" t="str">
        <x:v>机制确认/数值待试玩</x:v>
      </x:c>
      <x:c r="K118" s="24" t="str">
        <x:v>沿用</x:v>
      </x:c>
      <x:c r="L118" s="24" t="str">
        <x:v>65共鸣换1HP每图限2，战斗资源珍贵，48金优于旧75。</x:v>
      </x:c>
      <x:c r="M118" s="24" t="str">
        <x:v>策划建议，尚未写入Godot</x:v>
      </x:c>
      <x:c r="N118" s="24" t="str">
        <x:v>https://github.com/zhipijun1996/gunman-rush/blob/26e7f2a4459623f35613a857da8a75e89daa3e62/scripts/resources/state/combat_energy_state.gd</x:v>
      </x:c>
    </x:row>
    <x:row r="119" ht="40" customHeight="1">
      <x:c r="A119" s="24" t="str">
        <x:v>P27</x:v>
      </x:c>
      <x:c r="B119" s="24" t="str">
        <x:v>随身修补针</x:v>
      </x:c>
      <x:c r="C119" s="24" t="str">
        <x:v>紫色</x:v>
      </x:c>
      <x:c r="D119" s="24" t="n">
        <x:v>53</x:v>
      </x:c>
      <x:c r="E119" s="24" t="str">
        <x:v>heal_hp</x:v>
      </x:c>
      <x:c r="F119" s="24" t="str">
        <x:v>通用</x:v>
      </x:c>
      <x:c r="G119" s="24" t="n">
        <x:v>1</x:v>
      </x:c>
      <x:c r="H119" s="42" t="n">
        <x:v>1</x:v>
      </x:c>
      <x:c r="I119" s="24" t="str">
        <x:v>点/HP/金币</x:v>
      </x:c>
      <x:c r="J119" s="24" t="str">
        <x:v>机制确认/数值待试玩</x:v>
      </x:c>
      <x:c r="K119" s="24" t="str">
        <x:v>沿用</x:v>
      </x:c>
      <x:c r="L119" s="24" t="str">
        <x:v>65共鸣换1HP每图限2，战斗资源珍贵，48金优于旧75。</x:v>
      </x:c>
      <x:c r="M119" s="24" t="str">
        <x:v>策划建议，尚未写入Godot</x:v>
      </x:c>
      <x:c r="N119" s="24" t="str">
        <x:v>https://github.com/zhipijun1996/gunman-rush/blob/26e7f2a4459623f35613a857da8a75e89daa3e62/scripts/resources/state/combat_energy_state.gd</x:v>
      </x:c>
    </x:row>
    <x:row r="120" ht="40" customHeight="1">
      <x:c r="A120" s="24" t="str">
        <x:v>P27</x:v>
      </x:c>
      <x:c r="B120" s="24" t="str">
        <x:v>随身修补针</x:v>
      </x:c>
      <x:c r="C120" s="24" t="str">
        <x:v>紫色</x:v>
      </x:c>
      <x:c r="D120" s="24" t="n">
        <x:v>53</x:v>
      </x:c>
      <x:c r="E120" s="24" t="str">
        <x:v>max_uses_per_map</x:v>
      </x:c>
      <x:c r="F120" s="24" t="str">
        <x:v>通用</x:v>
      </x:c>
      <x:c r="G120" s="24" t="n">
        <x:v>2</x:v>
      </x:c>
      <x:c r="H120" s="42" t="n">
        <x:v>2</x:v>
      </x:c>
      <x:c r="I120" s="24" t="str">
        <x:v>计数/模式</x:v>
      </x:c>
      <x:c r="J120" s="24" t="str">
        <x:v>机制确认/数值待试玩</x:v>
      </x:c>
      <x:c r="K120" s="24" t="str">
        <x:v>沿用</x:v>
      </x:c>
      <x:c r="L120" s="24" t="str">
        <x:v>65共鸣换1HP每图限2，战斗资源珍贵，48金优于旧75。</x:v>
      </x:c>
      <x:c r="M120" s="24" t="str">
        <x:v>策划建议，尚未写入Godot</x:v>
      </x:c>
      <x:c r="N120" s="24" t="str">
        <x:v>https://github.com/zhipijun1996/gunman-rush/blob/26e7f2a4459623f35613a857da8a75e89daa3e62/scripts/resources/state/combat_energy_state.gd</x:v>
      </x:c>
    </x:row>
    <x:row r="121" ht="40" customHeight="1">
      <x:c r="A121" s="24" t="str">
        <x:v>G02</x:v>
      </x:c>
      <x:c r="B121" s="24" t="str">
        <x:v>无忧余音</x:v>
      </x:c>
      <x:c r="C121" s="24" t="str">
        <x:v>金色</x:v>
      </x:c>
      <x:c r="D121" s="24" t="n">
        <x:v>55</x:v>
      </x:c>
      <x:c r="E121" s="24" t="str">
        <x:v>hits_for_one_barrier</x:v>
      </x:c>
      <x:c r="F121" s="24" t="str">
        <x:v>通用</x:v>
      </x:c>
      <x:c r="G121" s="24" t="str"/>
      <x:c r="H121" s="42" t="n">
        <x:v>3</x:v>
      </x:c>
      <x:c r="I121" s="24" t="str">
        <x:v>计数/模式</x:v>
      </x:c>
      <x:c r="J121" s="24" t="str">
        <x:v>机制确认/数值待试玩</x:v>
      </x:c>
      <x:c r="K121" s="24" t="str">
        <x:v>变更/新增</x:v>
      </x:c>
      <x:c r="L121" s="24" t="str">
        <x:v>每累计3次真HP损失才得1盾，5HP基线触发有风险，1槽配低价。</x:v>
      </x:c>
      <x:c r="M121" s="24" t="str">
        <x:v>策划建议，尚未写入Godot</x:v>
      </x:c>
      <x:c r="N121" s="24" t="str">
        <x:v>https://github.com/zhipijun1996/gunman-rush/blob/26e7f2a4459623f35613a857da8a75e89daa3e62/scripts/combat/weapon_definition.gd</x:v>
      </x:c>
    </x:row>
    <x:row r="122" ht="40" customHeight="1">
      <x:c r="A122" s="24" t="str">
        <x:v>G02</x:v>
      </x:c>
      <x:c r="B122" s="24" t="str">
        <x:v>无忧余音</x:v>
      </x:c>
      <x:c r="C122" s="24" t="str">
        <x:v>金色</x:v>
      </x:c>
      <x:c r="D122" s="24" t="n">
        <x:v>55</x:v>
      </x:c>
      <x:c r="E122" s="24" t="str">
        <x:v>shield_per_trigger</x:v>
      </x:c>
      <x:c r="F122" s="24" t="str">
        <x:v>通用</x:v>
      </x:c>
      <x:c r="G122" s="24" t="str"/>
      <x:c r="H122" s="42" t="n">
        <x:v>1</x:v>
      </x:c>
      <x:c r="I122" s="24" t="str">
        <x:v>计数/模式</x:v>
      </x:c>
      <x:c r="J122" s="24" t="str">
        <x:v>机制确认/数值待试玩</x:v>
      </x:c>
      <x:c r="K122" s="24" t="str">
        <x:v>变更/新增</x:v>
      </x:c>
      <x:c r="L122" s="24" t="str">
        <x:v>每累计3次真HP损失才得1盾，5HP基线触发有风险，1槽配低价。</x:v>
      </x:c>
      <x:c r="M122" s="24" t="str">
        <x:v>策划建议，尚未写入Godot</x:v>
      </x:c>
      <x:c r="N122" s="24" t="str">
        <x:v>https://github.com/zhipijun1996/gunman-rush/blob/26e7f2a4459623f35613a857da8a75e89daa3e62/scripts/combat/weapon_definition.gd</x:v>
      </x:c>
    </x:row>
    <x:row r="123" ht="40" customHeight="1">
      <x:c r="A123" s="24" t="str">
        <x:v>G02</x:v>
      </x:c>
      <x:c r="B123" s="24" t="str">
        <x:v>无忧余音</x:v>
      </x:c>
      <x:c r="C123" s="24" t="str">
        <x:v>金色</x:v>
      </x:c>
      <x:c r="D123" s="24" t="n">
        <x:v>55</x:v>
      </x:c>
      <x:c r="E123" s="24" t="str">
        <x:v>shared_barrier_cap</x:v>
      </x:c>
      <x:c r="F123" s="24" t="str">
        <x:v>通用</x:v>
      </x:c>
      <x:c r="G123" s="24" t="str"/>
      <x:c r="H123" s="42" t="n">
        <x:v>3</x:v>
      </x:c>
      <x:c r="I123" s="24" t="str">
        <x:v>计数/模式</x:v>
      </x:c>
      <x:c r="J123" s="24" t="str">
        <x:v>机制确认/数值待试玩</x:v>
      </x:c>
      <x:c r="K123" s="24" t="str">
        <x:v>变更/新增</x:v>
      </x:c>
      <x:c r="L123" s="24" t="str">
        <x:v>每累计3次真HP损失才得1盾，5HP基线触发有风险，1槽配低价。</x:v>
      </x:c>
      <x:c r="M123" s="24" t="str">
        <x:v>策划建议，尚未写入Godot</x:v>
      </x:c>
      <x:c r="N123" s="24" t="str">
        <x:v>https://github.com/zhipijun1996/gunman-rush/blob/26e7f2a4459623f35613a857da8a75e89daa3e62/scripts/combat/weapon_definition.gd</x:v>
      </x:c>
    </x:row>
    <x:row r="124" ht="40" customHeight="1">
      <x:c r="A124" s="24" t="str">
        <x:v>G03</x:v>
      </x:c>
      <x:c r="B124" s="24" t="str">
        <x:v>春归铃枝</x:v>
      </x:c>
      <x:c r="C124" s="24" t="str">
        <x:v>金色</x:v>
      </x:c>
      <x:c r="D124" s="24" t="n">
        <x:v>56</x:v>
      </x:c>
      <x:c r="E124" s="24" t="str">
        <x:v>heal_hp_on_new_map</x:v>
      </x:c>
      <x:c r="F124" s="24" t="str">
        <x:v>通用</x:v>
      </x:c>
      <x:c r="G124" s="24" t="str"/>
      <x:c r="H124" s="42" t="n">
        <x:v>1</x:v>
      </x:c>
      <x:c r="I124" s="24" t="str">
        <x:v>点/HP/金币</x:v>
      </x:c>
      <x:c r="J124" s="24" t="str">
        <x:v>机制确认/数值待试玩</x:v>
      </x:c>
      <x:c r="K124" s="24" t="str">
        <x:v>变更/新增</x:v>
      </x:c>
      <x:c r="L124" s="24" t="str">
        <x:v>每张新图首次恢复1HP，只有2图时总治疗不多，不能对禁疗誓约生效。</x:v>
      </x:c>
      <x:c r="M124" s="24" t="str">
        <x:v>策划建议，尚未写入Godot</x:v>
      </x:c>
      <x:c r="N124" s="24" t="str">
        <x:v>https://github.com/zhipijun1996/gunman-rush/blob/26e7f2a4459623f35613a857da8a75e89daa3e62/resources/actors/prototype_health.tres</x:v>
      </x:c>
    </x:row>
    <x:row r="125" ht="40" customHeight="1">
      <x:c r="A125" s="24" t="str">
        <x:v>G03</x:v>
      </x:c>
      <x:c r="B125" s="24" t="str">
        <x:v>春归铃枝</x:v>
      </x:c>
      <x:c r="C125" s="24" t="str">
        <x:v>金色</x:v>
      </x:c>
      <x:c r="D125" s="24" t="n">
        <x:v>56</x:v>
      </x:c>
      <x:c r="E125" s="24" t="str">
        <x:v>max_triggers_per_unique_map</x:v>
      </x:c>
      <x:c r="F125" s="24" t="str">
        <x:v>通用</x:v>
      </x:c>
      <x:c r="G125" s="24" t="str"/>
      <x:c r="H125" s="42" t="n">
        <x:v>1</x:v>
      </x:c>
      <x:c r="I125" s="24" t="str">
        <x:v>计数/模式</x:v>
      </x:c>
      <x:c r="J125" s="24" t="str">
        <x:v>机制确认/数值待试玩</x:v>
      </x:c>
      <x:c r="K125" s="24" t="str">
        <x:v>变更/新增</x:v>
      </x:c>
      <x:c r="L125" s="24" t="str">
        <x:v>每张新图首次恢复1HP，只有2图时总治疗不多，不能对禁疗誓约生效。</x:v>
      </x:c>
      <x:c r="M125" s="24" t="str">
        <x:v>策划建议，尚未写入Godot</x:v>
      </x:c>
      <x:c r="N125" s="24" t="str">
        <x:v>https://github.com/zhipijun1996/gunman-rush/blob/26e7f2a4459623f35613a857da8a75e89daa3e62/resources/actors/prototype_health.tres</x:v>
      </x:c>
    </x:row>
    <x:row r="126" ht="40" customHeight="1">
      <x:c r="A126" s="24" t="str">
        <x:v>G04</x:v>
      </x:c>
      <x:c r="B126" s="24" t="str">
        <x:v>零时护心</x:v>
      </x:c>
      <x:c r="C126" s="24" t="str">
        <x:v>金色</x:v>
      </x:c>
      <x:c r="D126" s="24" t="n">
        <x:v>57</x:v>
      </x:c>
      <x:c r="E126" s="24" t="str">
        <x:v>combat_energy_cost</x:v>
      </x:c>
      <x:c r="F126" s="24" t="str">
        <x:v>通用</x:v>
      </x:c>
      <x:c r="G126" s="24" t="n">
        <x:v>65</x:v>
      </x:c>
      <x:c r="H126" s="42" t="n">
        <x:v>65</x:v>
      </x:c>
      <x:c r="I126" s="24" t="str">
        <x:v>点/HP/金币</x:v>
      </x:c>
      <x:c r="J126" s="24" t="str">
        <x:v>机制确认/数值待试玩</x:v>
      </x:c>
      <x:c r="K126" s="24" t="str">
        <x:v>沿用</x:v>
      </x:c>
      <x:c r="L126" s="24" t="str">
        <x:v>65共鸣抵挡致死攻击每图一次，4槽比普通防御更稳定，保留高售价。</x:v>
      </x:c>
      <x:c r="M126" s="24" t="str">
        <x:v>策划建议，尚未写入Godot</x:v>
      </x:c>
      <x:c r="N126" s="24" t="str">
        <x:v>https://github.com/zhipijun1996/gunman-rush/blob/26e7f2a4459623f35613a857da8a75e89daa3e62/scripts/resources/state/combat_energy_state.gd</x:v>
      </x:c>
    </x:row>
    <x:row r="127" ht="40" customHeight="1">
      <x:c r="A127" s="24" t="str">
        <x:v>G04</x:v>
      </x:c>
      <x:c r="B127" s="24" t="str">
        <x:v>零时护心</x:v>
      </x:c>
      <x:c r="C127" s="24" t="str">
        <x:v>金色</x:v>
      </x:c>
      <x:c r="D127" s="24" t="n">
        <x:v>57</x:v>
      </x:c>
      <x:c r="E127" s="24" t="str">
        <x:v>set_remaining_hp</x:v>
      </x:c>
      <x:c r="F127" s="24" t="str">
        <x:v>通用</x:v>
      </x:c>
      <x:c r="G127" s="24" t="n">
        <x:v>1</x:v>
      </x:c>
      <x:c r="H127" s="42" t="n">
        <x:v>1</x:v>
      </x:c>
      <x:c r="I127" s="24" t="str">
        <x:v>点/HP/金币</x:v>
      </x:c>
      <x:c r="J127" s="24" t="str">
        <x:v>机制确认/数值待试玩</x:v>
      </x:c>
      <x:c r="K127" s="24" t="str">
        <x:v>沿用</x:v>
      </x:c>
      <x:c r="L127" s="24" t="str">
        <x:v>65共鸣抵挡致死攻击每图一次，4槽比普通防御更稳定，保留高售价。</x:v>
      </x:c>
      <x:c r="M127" s="24" t="str">
        <x:v>策划建议，尚未写入Godot</x:v>
      </x:c>
      <x:c r="N127" s="24" t="str">
        <x:v>https://github.com/zhipijun1996/gunman-rush/blob/26e7f2a4459623f35613a857da8a75e89daa3e62/scripts/resources/state/combat_energy_state.gd</x:v>
      </x:c>
    </x:row>
    <x:row r="128" ht="40" customHeight="1">
      <x:c r="A128" s="24" t="str">
        <x:v>G04</x:v>
      </x:c>
      <x:c r="B128" s="24" t="str">
        <x:v>零时护心</x:v>
      </x:c>
      <x:c r="C128" s="24" t="str">
        <x:v>金色</x:v>
      </x:c>
      <x:c r="D128" s="24" t="n">
        <x:v>57</x:v>
      </x:c>
      <x:c r="E128" s="24" t="str">
        <x:v>uses_per_map</x:v>
      </x:c>
      <x:c r="F128" s="24" t="str">
        <x:v>通用</x:v>
      </x:c>
      <x:c r="G128" s="24" t="n">
        <x:v>1</x:v>
      </x:c>
      <x:c r="H128" s="42" t="n">
        <x:v>1</x:v>
      </x:c>
      <x:c r="I128" s="24" t="str">
        <x:v>计数/模式</x:v>
      </x:c>
      <x:c r="J128" s="24" t="str">
        <x:v>机制确认/数值待试玩</x:v>
      </x:c>
      <x:c r="K128" s="24" t="str">
        <x:v>沿用</x:v>
      </x:c>
      <x:c r="L128" s="24" t="str">
        <x:v>65共鸣抵挡致死攻击每图一次，4槽比普通防御更稳定，保留高售价。</x:v>
      </x:c>
      <x:c r="M128" s="24" t="str">
        <x:v>策划建议，尚未写入Godot</x:v>
      </x:c>
      <x:c r="N128" s="24" t="str">
        <x:v>https://github.com/zhipijun1996/gunman-rush/blob/26e7f2a4459623f35613a857da8a75e89daa3e62/scripts/resources/state/combat_energy_state.gd</x:v>
      </x:c>
    </x:row>
    <x:row r="129" ht="40" customHeight="1">
      <x:c r="A129" s="24" t="str">
        <x:v>G11</x:v>
      </x:c>
      <x:c r="B129" s="24" t="str">
        <x:v>不朽心匣</x:v>
      </x:c>
      <x:c r="C129" s="24" t="str">
        <x:v>金色</x:v>
      </x:c>
      <x:c r="D129" s="24" t="n">
        <x:v>58</x:v>
      </x:c>
      <x:c r="E129" s="24" t="str">
        <x:v>max_hp_add</x:v>
      </x:c>
      <x:c r="F129" s="24" t="str">
        <x:v>通用</x:v>
      </x:c>
      <x:c r="G129" s="24" t="n">
        <x:v>3</x:v>
      </x:c>
      <x:c r="H129" s="42" t="n">
        <x:v>3</x:v>
      </x:c>
      <x:c r="I129" s="24" t="str">
        <x:v>点/HP/金币</x:v>
      </x:c>
      <x:c r="J129" s="24" t="str">
        <x:v>机制确认/数值待试玩</x:v>
      </x:c>
      <x:c r="K129" s="24" t="str">
        <x:v>沿用</x:v>
      </x:c>
      <x:c r="L129" s="24" t="str">
        <x:v>永久+3HP无破损且2槽比蓝色Lv3省收集次数，75金币值得。</x:v>
      </x:c>
      <x:c r="M129" s="24" t="str">
        <x:v>策划建议，尚未写入Godot</x:v>
      </x:c>
      <x:c r="N129" s="24" t="str">
        <x:v>https://github.com/zhipijun1996/gunman-rush/blob/26e7f2a4459623f35613a857da8a75e89daa3e62/resources/actors/prototype_health.tres</x:v>
      </x:c>
    </x:row>
    <x:row r="130" ht="40" customHeight="1">
      <x:c r="A130" s="24" t="str">
        <x:v>P05</x:v>
      </x:c>
      <x:c r="B130" s="24" t="str">
        <x:v>末息轮芯</x:v>
      </x:c>
      <x:c r="C130" s="24" t="str">
        <x:v>紫色</x:v>
      </x:c>
      <x:c r="D130" s="24" t="n">
        <x:v>60</x:v>
      </x:c>
      <x:c r="E130" s="24" t="str">
        <x:v>hp_ratio_threshold</x:v>
      </x:c>
      <x:c r="F130" s="24" t="str">
        <x:v>通用</x:v>
      </x:c>
      <x:c r="G130" s="24" t="n">
        <x:v>0.4</x:v>
      </x:c>
      <x:c r="H130" s="42" t="n">
        <x:v>0.4</x:v>
      </x:c>
      <x:c r="I130" s="24" t="str">
        <x:v>倍率</x:v>
      </x:c>
      <x:c r="J130" s="24" t="str">
        <x:v>机制确认/数值待试玩</x:v>
      </x:c>
      <x:c r="K130" s="24" t="str">
        <x:v>沿用</x:v>
      </x:c>
      <x:c r="L130" s="24" t="str">
        <x:v>HP≤40%伤害+35%，5血时≤2HP高死亡风险，51金币合理。</x:v>
      </x:c>
      <x:c r="M130" s="24" t="str">
        <x:v>策划建议，尚未写入Godot</x:v>
      </x:c>
      <x:c r="N130" s="24" t="str">
        <x:v>https://github.com/zhipijun1996/gunman-rush/blob/26e7f2a4459623f35613a857da8a75e89daa3e62/scripts/combat/weapon_definition.gd</x:v>
      </x:c>
    </x:row>
    <x:row r="131" ht="40" customHeight="1">
      <x:c r="A131" s="24" t="str">
        <x:v>P05</x:v>
      </x:c>
      <x:c r="B131" s="24" t="str">
        <x:v>末息轮芯</x:v>
      </x:c>
      <x:c r="C131" s="24" t="str">
        <x:v>紫色</x:v>
      </x:c>
      <x:c r="D131" s="24" t="n">
        <x:v>60</x:v>
      </x:c>
      <x:c r="E131" s="24" t="str">
        <x:v>primary_damage_multiplier</x:v>
      </x:c>
      <x:c r="F131" s="24" t="str">
        <x:v>通用</x:v>
      </x:c>
      <x:c r="G131" s="24" t="n">
        <x:v>1.35</x:v>
      </x:c>
      <x:c r="H131" s="42" t="n">
        <x:v>1.35</x:v>
      </x:c>
      <x:c r="I131" s="24" t="str">
        <x:v>倍率</x:v>
      </x:c>
      <x:c r="J131" s="24" t="str">
        <x:v>机制确认/数值待试玩</x:v>
      </x:c>
      <x:c r="K131" s="24" t="str">
        <x:v>沿用</x:v>
      </x:c>
      <x:c r="L131" s="24" t="str">
        <x:v>HP≤40%伤害+35%，5血时≤2HP高死亡风险，51金币合理。</x:v>
      </x:c>
      <x:c r="M131" s="24" t="str">
        <x:v>策划建议，尚未写入Godot</x:v>
      </x:c>
      <x:c r="N131" s="24" t="str">
        <x:v>https://github.com/zhipijun1996/gunman-rush/blob/26e7f2a4459623f35613a857da8a75e89daa3e62/scripts/combat/weapon_definition.gd</x:v>
      </x:c>
    </x:row>
    <x:row r="132" ht="40" customHeight="1">
      <x:c r="A132" s="24" t="str">
        <x:v>B24</x:v>
      </x:c>
      <x:c r="B132" s="24" t="str">
        <x:v>余火枪片</x:v>
      </x:c>
      <x:c r="C132" s="24" t="str">
        <x:v>蓝色</x:v>
      </x:c>
      <x:c r="D132" s="24" t="n">
        <x:v>61</x:v>
      </x:c>
      <x:c r="E132" s="24" t="str">
        <x:v>total_dot_damage_ratio_D</x:v>
      </x:c>
      <x:c r="F132" s="24" t="str">
        <x:v>通用</x:v>
      </x:c>
      <x:c r="G132" s="24" t="n">
        <x:v>0.35</x:v>
      </x:c>
      <x:c r="H132" s="42" t="n">
        <x:v>0.35</x:v>
      </x:c>
      <x:c r="I132" s="24" t="str">
        <x:v>倍率</x:v>
      </x:c>
      <x:c r="J132" s="24" t="str">
        <x:v>机制确认/数值待试玩</x:v>
      </x:c>
      <x:c r="K132" s="24" t="str">
        <x:v>沿用</x:v>
      </x:c>
      <x:c r="L132" s="24" t="str">
        <x:v>三秒燃烧仅0.35D，对1D基础并不强；低价让持续伤害作辅助。</x:v>
      </x:c>
      <x:c r="M132" s="24" t="str">
        <x:v>策划建议，尚未写入Godot</x:v>
      </x:c>
      <x:c r="N132" s="24" t="str">
        <x:v>https://github.com/zhipijun1996/gunman-rush/blob/26e7f2a4459623f35613a857da8a75e89daa3e62/scripts/combat/weapon_definition.gd</x:v>
      </x:c>
    </x:row>
    <x:row r="133" ht="40" customHeight="1">
      <x:c r="A133" s="24" t="str">
        <x:v>B24</x:v>
      </x:c>
      <x:c r="B133" s="24" t="str">
        <x:v>余火枪片</x:v>
      </x:c>
      <x:c r="C133" s="24" t="str">
        <x:v>蓝色</x:v>
      </x:c>
      <x:c r="D133" s="24" t="n">
        <x:v>61</x:v>
      </x:c>
      <x:c r="E133" s="24" t="str">
        <x:v>dot_duration_s</x:v>
      </x:c>
      <x:c r="F133" s="24" t="str">
        <x:v>通用</x:v>
      </x:c>
      <x:c r="G133" s="24" t="n">
        <x:v>3</x:v>
      </x:c>
      <x:c r="H133" s="42" t="n">
        <x:v>3</x:v>
      </x:c>
      <x:c r="I133" s="24" t="str">
        <x:v>倍率</x:v>
      </x:c>
      <x:c r="J133" s="24" t="str">
        <x:v>机制确认/数值待试玩</x:v>
      </x:c>
      <x:c r="K133" s="24" t="str">
        <x:v>沿用</x:v>
      </x:c>
      <x:c r="L133" s="24" t="str">
        <x:v>三秒燃烧仅0.35D，对1D基础并不强；低价让持续伤害作辅助。</x:v>
      </x:c>
      <x:c r="M133" s="24" t="str">
        <x:v>策划建议，尚未写入Godot</x:v>
      </x:c>
      <x:c r="N133" s="24" t="str">
        <x:v>https://github.com/zhipijun1996/gunman-rush/blob/26e7f2a4459623f35613a857da8a75e89daa3e62/scripts/combat/weapon_definition.gd</x:v>
      </x:c>
    </x:row>
    <x:row r="134" ht="40" customHeight="1">
      <x:c r="A134" s="24" t="str">
        <x:v>P09</x:v>
      </x:c>
      <x:c r="B134" s="24" t="str">
        <x:v>弹震继电匣</x:v>
      </x:c>
      <x:c r="C134" s="24" t="str">
        <x:v>紫色</x:v>
      </x:c>
      <x:c r="D134" s="24" t="n">
        <x:v>62</x:v>
      </x:c>
      <x:c r="E134" s="24" t="str">
        <x:v>explosion_damage_ratio_D</x:v>
      </x:c>
      <x:c r="F134" s="24" t="str">
        <x:v>通用</x:v>
      </x:c>
      <x:c r="G134" s="24" t="n">
        <x:v>0.3</x:v>
      </x:c>
      <x:c r="H134" s="42" t="n">
        <x:v>0.3</x:v>
      </x:c>
      <x:c r="I134" s="24" t="str">
        <x:v>倍率</x:v>
      </x:c>
      <x:c r="J134" s="24" t="str">
        <x:v>机制确认/数值待试玩</x:v>
      </x:c>
      <x:c r="K134" s="24" t="str">
        <x:v>沿用</x:v>
      </x:c>
      <x:c r="L134" s="24" t="str">
        <x:v>3秒CD的小范围爆炸比直伤适合清群怪；已有连锁电击，两者差异保留。</x:v>
      </x:c>
      <x:c r="M134" s="24" t="str">
        <x:v>策划建议，尚未写入Godot</x:v>
      </x:c>
      <x:c r="N134" s="24" t="str">
        <x:v>https://github.com/zhipijun1996/gunman-rush/blob/26e7f2a4459623f35613a857da8a75e89daa3e62/scripts/combat/weapon_definition.gd</x:v>
      </x:c>
    </x:row>
    <x:row r="135" ht="40" customHeight="1">
      <x:c r="A135" s="24" t="str">
        <x:v>P09</x:v>
      </x:c>
      <x:c r="B135" s="24" t="str">
        <x:v>弹震继电匣</x:v>
      </x:c>
      <x:c r="C135" s="24" t="str">
        <x:v>紫色</x:v>
      </x:c>
      <x:c r="D135" s="24" t="n">
        <x:v>62</x:v>
      </x:c>
      <x:c r="E135" s="24" t="str">
        <x:v>radius_px</x:v>
      </x:c>
      <x:c r="F135" s="24" t="str">
        <x:v>通用</x:v>
      </x:c>
      <x:c r="G135" s="24" t="n">
        <x:v>88</x:v>
      </x:c>
      <x:c r="H135" s="42" t="n">
        <x:v>88</x:v>
      </x:c>
      <x:c r="I135" s="24" t="str">
        <x:v>世界单位</x:v>
      </x:c>
      <x:c r="J135" s="24" t="str">
        <x:v>机制确认/数值待试玩</x:v>
      </x:c>
      <x:c r="K135" s="24" t="str">
        <x:v>沿用</x:v>
      </x:c>
      <x:c r="L135" s="24" t="str">
        <x:v>3秒CD的小范围爆炸比直伤适合清群怪；已有连锁电击，两者差异保留。</x:v>
      </x:c>
      <x:c r="M135" s="24" t="str">
        <x:v>策划建议，尚未写入Godot</x:v>
      </x:c>
      <x:c r="N135" s="24" t="str">
        <x:v>https://github.com/zhipijun1996/gunman-rush/blob/26e7f2a4459623f35613a857da8a75e89daa3e62/scripts/combat/weapon_definition.gd</x:v>
      </x:c>
    </x:row>
    <x:row r="136" ht="40" customHeight="1">
      <x:c r="A136" s="24" t="str">
        <x:v>P09</x:v>
      </x:c>
      <x:c r="B136" s="24" t="str">
        <x:v>弹震继电匣</x:v>
      </x:c>
      <x:c r="C136" s="24" t="str">
        <x:v>紫色</x:v>
      </x:c>
      <x:c r="D136" s="24" t="n">
        <x:v>62</x:v>
      </x:c>
      <x:c r="E136" s="24" t="str">
        <x:v>cooldown_s</x:v>
      </x:c>
      <x:c r="F136" s="24" t="str">
        <x:v>通用</x:v>
      </x:c>
      <x:c r="G136" s="24" t="str"/>
      <x:c r="H136" s="42" t="n">
        <x:v>3</x:v>
      </x:c>
      <x:c r="I136" s="24" t="str">
        <x:v>秒</x:v>
      </x:c>
      <x:c r="J136" s="24" t="str">
        <x:v>机制确认/数值待试玩</x:v>
      </x:c>
      <x:c r="K136" s="24" t="str">
        <x:v>变更/新增</x:v>
      </x:c>
      <x:c r="L136" s="24" t="str">
        <x:v>3秒CD的小范围爆炸比直伤适合清群怪；已有连锁电击，两者差异保留。</x:v>
      </x:c>
      <x:c r="M136" s="24" t="str">
        <x:v>策划建议，尚未写入Godot</x:v>
      </x:c>
      <x:c r="N136" s="24" t="str">
        <x:v>https://github.com/zhipijun1996/gunman-rush/blob/26e7f2a4459623f35613a857da8a75e89daa3e62/scripts/combat/weapon_definition.gd</x:v>
      </x:c>
    </x:row>
    <x:row r="137" ht="40" customHeight="1">
      <x:c r="A137" s="24" t="str">
        <x:v>P10</x:v>
      </x:c>
      <x:c r="B137" s="24" t="str">
        <x:v>腐蚀尾铃</x:v>
      </x:c>
      <x:c r="C137" s="24" t="str">
        <x:v>紫色</x:v>
      </x:c>
      <x:c r="D137" s="24" t="n">
        <x:v>63</x:v>
      </x:c>
      <x:c r="E137" s="24" t="str">
        <x:v>primed_window_s</x:v>
      </x:c>
      <x:c r="F137" s="24" t="str">
        <x:v>通用</x:v>
      </x:c>
      <x:c r="G137" s="24" t="n">
        <x:v>5</x:v>
      </x:c>
      <x:c r="H137" s="42" t="n">
        <x:v>5</x:v>
      </x:c>
      <x:c r="I137" s="24" t="str">
        <x:v>秒</x:v>
      </x:c>
      <x:c r="J137" s="24" t="str">
        <x:v>机制确认/数值待试玩</x:v>
      </x:c>
      <x:c r="K137" s="24" t="str">
        <x:v>沿用</x:v>
      </x:c>
      <x:c r="L137" s="24" t="str">
        <x:v>必须先用主动技能5秒内命中，再成云，触发较复杂；48金降低获取门槛。</x:v>
      </x:c>
      <x:c r="M137" s="24" t="str">
        <x:v>策划建议，尚未写入Godot</x:v>
      </x:c>
      <x:c r="N137" s="24" t="str">
        <x:v>https://github.com/zhipijun1996/gunman-rush/blob/26e7f2a4459623f35613a857da8a75e89daa3e62/scripts/combat/weapon_definition.gd</x:v>
      </x:c>
    </x:row>
    <x:row r="138" ht="40" customHeight="1">
      <x:c r="A138" s="24" t="str">
        <x:v>P10</x:v>
      </x:c>
      <x:c r="B138" s="24" t="str">
        <x:v>腐蚀尾铃</x:v>
      </x:c>
      <x:c r="C138" s="24" t="str">
        <x:v>紫色</x:v>
      </x:c>
      <x:c r="D138" s="24" t="n">
        <x:v>63</x:v>
      </x:c>
      <x:c r="E138" s="24" t="str">
        <x:v>cloud_duration_s</x:v>
      </x:c>
      <x:c r="F138" s="24" t="str">
        <x:v>通用</x:v>
      </x:c>
      <x:c r="G138" s="24" t="n">
        <x:v>3</x:v>
      </x:c>
      <x:c r="H138" s="42" t="n">
        <x:v>3</x:v>
      </x:c>
      <x:c r="I138" s="24" t="str">
        <x:v>倍率</x:v>
      </x:c>
      <x:c r="J138" s="24" t="str">
        <x:v>机制确认/数值待试玩</x:v>
      </x:c>
      <x:c r="K138" s="24" t="str">
        <x:v>沿用</x:v>
      </x:c>
      <x:c r="L138" s="24" t="str">
        <x:v>必须先用主动技能5秒内命中，再成云，触发较复杂；48金降低获取门槛。</x:v>
      </x:c>
      <x:c r="M138" s="24" t="str">
        <x:v>策划建议，尚未写入Godot</x:v>
      </x:c>
      <x:c r="N138" s="24" t="str">
        <x:v>https://github.com/zhipijun1996/gunman-rush/blob/26e7f2a4459623f35613a857da8a75e89daa3e62/scripts/combat/weapon_definition.gd</x:v>
      </x:c>
    </x:row>
    <x:row r="139" ht="40" customHeight="1">
      <x:c r="A139" s="24" t="str">
        <x:v>P10</x:v>
      </x:c>
      <x:c r="B139" s="24" t="str">
        <x:v>腐蚀尾铃</x:v>
      </x:c>
      <x:c r="C139" s="24" t="str">
        <x:v>紫色</x:v>
      </x:c>
      <x:c r="D139" s="24" t="n">
        <x:v>63</x:v>
      </x:c>
      <x:c r="E139" s="24" t="str">
        <x:v>cloud_radius_px</x:v>
      </x:c>
      <x:c r="F139" s="24" t="str">
        <x:v>通用</x:v>
      </x:c>
      <x:c r="G139" s="24" t="n">
        <x:v>75</x:v>
      </x:c>
      <x:c r="H139" s="42" t="n">
        <x:v>75</x:v>
      </x:c>
      <x:c r="I139" s="24" t="str">
        <x:v>世界单位</x:v>
      </x:c>
      <x:c r="J139" s="24" t="str">
        <x:v>机制确认/数值待试玩</x:v>
      </x:c>
      <x:c r="K139" s="24" t="str">
        <x:v>沿用</x:v>
      </x:c>
      <x:c r="L139" s="24" t="str">
        <x:v>必须先用主动技能5秒内命中，再成云，触发较复杂；48金降低获取门槛。</x:v>
      </x:c>
      <x:c r="M139" s="24" t="str">
        <x:v>策划建议，尚未写入Godot</x:v>
      </x:c>
      <x:c r="N139" s="24" t="str">
        <x:v>https://github.com/zhipijun1996/gunman-rush/blob/26e7f2a4459623f35613a857da8a75e89daa3e62/scripts/combat/weapon_definition.gd</x:v>
      </x:c>
    </x:row>
    <x:row r="140" ht="40" customHeight="1">
      <x:c r="A140" s="24" t="str">
        <x:v>P10</x:v>
      </x:c>
      <x:c r="B140" s="24" t="str">
        <x:v>腐蚀尾铃</x:v>
      </x:c>
      <x:c r="C140" s="24" t="str">
        <x:v>紫色</x:v>
      </x:c>
      <x:c r="D140" s="24" t="n">
        <x:v>63</x:v>
      </x:c>
      <x:c r="E140" s="24" t="str">
        <x:v>dot_damage_per_second_ratio_D</x:v>
      </x:c>
      <x:c r="F140" s="24" t="str">
        <x:v>通用</x:v>
      </x:c>
      <x:c r="G140" s="24" t="n">
        <x:v>0.15</x:v>
      </x:c>
      <x:c r="H140" s="42" t="n">
        <x:v>0.15</x:v>
      </x:c>
      <x:c r="I140" s="24" t="str">
        <x:v>倍率</x:v>
      </x:c>
      <x:c r="J140" s="24" t="str">
        <x:v>机制确认/数值待试玩</x:v>
      </x:c>
      <x:c r="K140" s="24" t="str">
        <x:v>沿用</x:v>
      </x:c>
      <x:c r="L140" s="24" t="str">
        <x:v>必须先用主动技能5秒内命中，再成云，触发较复杂；48金降低获取门槛。</x:v>
      </x:c>
      <x:c r="M140" s="24" t="str">
        <x:v>策划建议，尚未写入Godot</x:v>
      </x:c>
      <x:c r="N140" s="24" t="str">
        <x:v>https://github.com/zhipijun1996/gunman-rush/blob/26e7f2a4459623f35613a857da8a75e89daa3e62/scripts/combat/weapon_definition.gd</x:v>
      </x:c>
    </x:row>
    <x:row r="141" ht="40" customHeight="1">
      <x:c r="A141" s="24" t="str">
        <x:v>P14</x:v>
      </x:c>
      <x:c r="B141" s="24" t="str">
        <x:v>游钟机群</x:v>
      </x:c>
      <x:c r="C141" s="24" t="str">
        <x:v>紫色</x:v>
      </x:c>
      <x:c r="D141" s="24" t="n">
        <x:v>65</x:v>
      </x:c>
      <x:c r="E141" s="24" t="str">
        <x:v>small_drone_count</x:v>
      </x:c>
      <x:c r="F141" s="24" t="str">
        <x:v>通用</x:v>
      </x:c>
      <x:c r="G141" s="24" t="str"/>
      <x:c r="H141" s="42" t="n">
        <x:v>3</x:v>
      </x:c>
      <x:c r="I141" s="24" t="str">
        <x:v>计数/模式</x:v>
      </x:c>
      <x:c r="J141" s="24" t="str">
        <x:v>机制确认/数值待试玩</x:v>
      </x:c>
      <x:c r="K141" s="24" t="str">
        <x:v>变更/新增</x:v>
      </x:c>
      <x:c r="L141" s="24" t="str">
        <x:v>三台小巡钟机合计DPS0.24D/秒、每击0.12D，弱于玩家但常驻安全输出。</x:v>
      </x:c>
      <x:c r="M141" s="24" t="str">
        <x:v>策划建议，尚未写入Godot</x:v>
      </x:c>
      <x:c r="N141" s="24" t="str">
        <x:v>https://github.com/zhipijun1996/gunman-rush/blob/26e7f2a4459623f35613a857da8a75e89daa3e62/scripts/combat/weapon_definition.gd</x:v>
      </x:c>
    </x:row>
    <x:row r="142" ht="40" customHeight="1">
      <x:c r="A142" s="24" t="str">
        <x:v>P14</x:v>
      </x:c>
      <x:c r="B142" s="24" t="str">
        <x:v>游钟机群</x:v>
      </x:c>
      <x:c r="C142" s="24" t="str">
        <x:v>紫色</x:v>
      </x:c>
      <x:c r="D142" s="24" t="n">
        <x:v>65</x:v>
      </x:c>
      <x:c r="E142" s="24" t="str">
        <x:v>attack_interval_s</x:v>
      </x:c>
      <x:c r="F142" s="24" t="str">
        <x:v>通用</x:v>
      </x:c>
      <x:c r="G142" s="24" t="n">
        <x:v>1.5</x:v>
      </x:c>
      <x:c r="H142" s="42" t="n">
        <x:v>1.5</x:v>
      </x:c>
      <x:c r="I142" s="24" t="str">
        <x:v>秒</x:v>
      </x:c>
      <x:c r="J142" s="24" t="str">
        <x:v>机制确认/数值待试玩</x:v>
      </x:c>
      <x:c r="K142" s="24" t="str">
        <x:v>沿用</x:v>
      </x:c>
      <x:c r="L142" s="24" t="str">
        <x:v>三台小巡钟机合计DPS0.24D/秒、每击0.12D，弱于玩家但常驻安全输出。</x:v>
      </x:c>
      <x:c r="M142" s="24" t="str">
        <x:v>策划建议，尚未写入Godot</x:v>
      </x:c>
      <x:c r="N142" s="24" t="str">
        <x:v>https://github.com/zhipijun1996/gunman-rush/blob/26e7f2a4459623f35613a857da8a75e89daa3e62/scripts/combat/weapon_definition.gd</x:v>
      </x:c>
    </x:row>
    <x:row r="143" ht="40" customHeight="1">
      <x:c r="A143" s="24" t="str">
        <x:v>P14</x:v>
      </x:c>
      <x:c r="B143" s="24" t="str">
        <x:v>游钟机群</x:v>
      </x:c>
      <x:c r="C143" s="24" t="str">
        <x:v>紫色</x:v>
      </x:c>
      <x:c r="D143" s="24" t="n">
        <x:v>65</x:v>
      </x:c>
      <x:c r="E143" s="24" t="str">
        <x:v>attack_damage_ratio_D</x:v>
      </x:c>
      <x:c r="F143" s="24" t="str">
        <x:v>通用</x:v>
      </x:c>
      <x:c r="G143" s="24" t="str"/>
      <x:c r="H143" s="42" t="n">
        <x:v>0.12</x:v>
      </x:c>
      <x:c r="I143" s="24" t="str">
        <x:v>倍率</x:v>
      </x:c>
      <x:c r="J143" s="24" t="str">
        <x:v>机制确认/数值待试玩</x:v>
      </x:c>
      <x:c r="K143" s="24" t="str">
        <x:v>变更/新增</x:v>
      </x:c>
      <x:c r="L143" s="24" t="str">
        <x:v>三台小巡钟机合计DPS0.24D/秒、每击0.12D，弱于玩家但常驻安全输出。</x:v>
      </x:c>
      <x:c r="M143" s="24" t="str">
        <x:v>策划建议，尚未写入Godot</x:v>
      </x:c>
      <x:c r="N143" s="24" t="str">
        <x:v>https://github.com/zhipijun1996/gunman-rush/blob/26e7f2a4459623f35613a857da8a75e89daa3e62/scripts/combat/weapon_definition.gd</x:v>
      </x:c>
    </x:row>
    <x:row r="144" ht="40" customHeight="1">
      <x:c r="A144" s="24" t="str">
        <x:v>P15</x:v>
      </x:c>
      <x:c r="B144" s="24" t="str">
        <x:v>续鸣装配匣</x:v>
      </x:c>
      <x:c r="C144" s="24" t="str">
        <x:v>紫色</x:v>
      </x:c>
      <x:c r="D144" s="24" t="n">
        <x:v>66</x:v>
      </x:c>
      <x:c r="E144" s="24" t="str">
        <x:v>combat_energy_spent_threshold</x:v>
      </x:c>
      <x:c r="F144" s="24" t="str">
        <x:v>通用</x:v>
      </x:c>
      <x:c r="G144" s="24" t="n">
        <x:v>45</x:v>
      </x:c>
      <x:c r="H144" s="42" t="n">
        <x:v>45</x:v>
      </x:c>
      <x:c r="I144" s="24" t="str">
        <x:v>点/HP/金币</x:v>
      </x:c>
      <x:c r="J144" s="24" t="str">
        <x:v>机制确认/数值待试玩</x:v>
      </x:c>
      <x:c r="K144" s="24" t="str">
        <x:v>沿用</x:v>
      </x:c>
      <x:c r="L144" s="24" t="str">
        <x:v>消耗45共鸣才产临时机，8秒持续、双机上限，偏技能联动不应过贵。</x:v>
      </x:c>
      <x:c r="M144" s="24" t="str">
        <x:v>策划建议，尚未写入Godot</x:v>
      </x:c>
      <x:c r="N144" s="24" t="str">
        <x:v>https://github.com/zhipijun1996/gunman-rush/blob/26e7f2a4459623f35613a857da8a75e89daa3e62/scripts/resources/state/combat_energy_state.gd</x:v>
      </x:c>
    </x:row>
    <x:row r="145" ht="40" customHeight="1">
      <x:c r="A145" s="24" t="str">
        <x:v>P15</x:v>
      </x:c>
      <x:c r="B145" s="24" t="str">
        <x:v>续鸣装配匣</x:v>
      </x:c>
      <x:c r="C145" s="24" t="str">
        <x:v>紫色</x:v>
      </x:c>
      <x:c r="D145" s="24" t="n">
        <x:v>66</x:v>
      </x:c>
      <x:c r="E145" s="24" t="str">
        <x:v>temp_drone_lifetime_s</x:v>
      </x:c>
      <x:c r="F145" s="24" t="str">
        <x:v>通用</x:v>
      </x:c>
      <x:c r="G145" s="24" t="str"/>
      <x:c r="H145" s="42" t="n">
        <x:v>8</x:v>
      </x:c>
      <x:c r="I145" s="24" t="str">
        <x:v>秒</x:v>
      </x:c>
      <x:c r="J145" s="24" t="str">
        <x:v>机制确认/数值待试玩</x:v>
      </x:c>
      <x:c r="K145" s="24" t="str">
        <x:v>变更/新增</x:v>
      </x:c>
      <x:c r="L145" s="24" t="str">
        <x:v>消耗45共鸣才产临时机，8秒持续、双机上限，偏技能联动不应过贵。</x:v>
      </x:c>
      <x:c r="M145" s="24" t="str">
        <x:v>策划建议，尚未写入Godot</x:v>
      </x:c>
      <x:c r="N145" s="24" t="str">
        <x:v>https://github.com/zhipijun1996/gunman-rush/blob/26e7f2a4459623f35613a857da8a75e89daa3e62/scripts/resources/state/combat_energy_state.gd</x:v>
      </x:c>
    </x:row>
    <x:row r="146" ht="40" customHeight="1">
      <x:c r="A146" s="24" t="str">
        <x:v>P15</x:v>
      </x:c>
      <x:c r="B146" s="24" t="str">
        <x:v>续鸣装配匣</x:v>
      </x:c>
      <x:c r="C146" s="24" t="str">
        <x:v>紫色</x:v>
      </x:c>
      <x:c r="D146" s="24" t="n">
        <x:v>66</x:v>
      </x:c>
      <x:c r="E146" s="24" t="str">
        <x:v>temp_drone_damage_ratio_D</x:v>
      </x:c>
      <x:c r="F146" s="24" t="str">
        <x:v>通用</x:v>
      </x:c>
      <x:c r="G146" s="24" t="str"/>
      <x:c r="H146" s="42" t="n">
        <x:v>0.35</x:v>
      </x:c>
      <x:c r="I146" s="24" t="str">
        <x:v>倍率</x:v>
      </x:c>
      <x:c r="J146" s="24" t="str">
        <x:v>机制确认/数值待试玩</x:v>
      </x:c>
      <x:c r="K146" s="24" t="str">
        <x:v>变更/新增</x:v>
      </x:c>
      <x:c r="L146" s="24" t="str">
        <x:v>消耗45共鸣才产临时机，8秒持续、双机上限，偏技能联动不应过贵。</x:v>
      </x:c>
      <x:c r="M146" s="24" t="str">
        <x:v>策划建议，尚未写入Godot</x:v>
      </x:c>
      <x:c r="N146" s="24" t="str">
        <x:v>https://github.com/zhipijun1996/gunman-rush/blob/26e7f2a4459623f35613a857da8a75e89daa3e62/scripts/resources/state/combat_energy_state.gd</x:v>
      </x:c>
    </x:row>
    <x:row r="147" ht="40" customHeight="1">
      <x:c r="A147" s="24" t="str">
        <x:v>P15</x:v>
      </x:c>
      <x:c r="B147" s="24" t="str">
        <x:v>续鸣装配匣</x:v>
      </x:c>
      <x:c r="C147" s="24" t="str">
        <x:v>紫色</x:v>
      </x:c>
      <x:c r="D147" s="24" t="n">
        <x:v>66</x:v>
      </x:c>
      <x:c r="E147" s="24" t="str">
        <x:v>max_temp_drones</x:v>
      </x:c>
      <x:c r="F147" s="24" t="str">
        <x:v>通用</x:v>
      </x:c>
      <x:c r="G147" s="24" t="str"/>
      <x:c r="H147" s="42" t="n">
        <x:v>2</x:v>
      </x:c>
      <x:c r="I147" s="24" t="str">
        <x:v>计数/模式</x:v>
      </x:c>
      <x:c r="J147" s="24" t="str">
        <x:v>机制确认/数值待试玩</x:v>
      </x:c>
      <x:c r="K147" s="24" t="str">
        <x:v>变更/新增</x:v>
      </x:c>
      <x:c r="L147" s="24" t="str">
        <x:v>消耗45共鸣才产临时机，8秒持续、双机上限，偏技能联动不应过贵。</x:v>
      </x:c>
      <x:c r="M147" s="24" t="str">
        <x:v>策划建议，尚未写入Godot</x:v>
      </x:c>
      <x:c r="N147" s="24" t="str">
        <x:v>https://github.com/zhipijun1996/gunman-rush/blob/26e7f2a4459623f35613a857da8a75e89daa3e62/scripts/resources/state/combat_energy_state.gd</x:v>
      </x:c>
    </x:row>
    <x:row r="148" ht="40" customHeight="1">
      <x:c r="A148" s="24" t="str">
        <x:v>P16</x:v>
      </x:c>
      <x:c r="B148" s="24" t="str">
        <x:v>循时梦盾</x:v>
      </x:c>
      <x:c r="C148" s="24" t="str">
        <x:v>紫色</x:v>
      </x:c>
      <x:c r="D148" s="24" t="n">
        <x:v>67</x:v>
      </x:c>
      <x:c r="E148" s="24" t="str">
        <x:v>orbit_radius_px</x:v>
      </x:c>
      <x:c r="F148" s="24" t="str">
        <x:v>通用</x:v>
      </x:c>
      <x:c r="G148" s="24" t="n">
        <x:v>60</x:v>
      </x:c>
      <x:c r="H148" s="42" t="n">
        <x:v>60</x:v>
      </x:c>
      <x:c r="I148" s="24" t="str">
        <x:v>世界单位</x:v>
      </x:c>
      <x:c r="J148" s="24" t="str">
        <x:v>机制确认/数值待试玩</x:v>
      </x:c>
      <x:c r="K148" s="24" t="str">
        <x:v>沿用</x:v>
      </x:c>
      <x:c r="L148" s="24" t="str">
        <x:v>12秒自动拦截一次敌方弹体，不防身体/荆棘，原4槽过重建议3槽。</x:v>
      </x:c>
      <x:c r="M148" s="24" t="str">
        <x:v>策划建议，尚未写入Godot</x:v>
      </x:c>
      <x:c r="N148" s="24" t="str">
        <x:v>https://github.com/zhipijun1996/gunman-rush/blob/26e7f2a4459623f35613a857da8a75e89daa3e62/scripts/combat/weapon_definition.gd</x:v>
      </x:c>
    </x:row>
    <x:row r="149" ht="40" customHeight="1">
      <x:c r="A149" s="24" t="str">
        <x:v>P16</x:v>
      </x:c>
      <x:c r="B149" s="24" t="str">
        <x:v>循时梦盾</x:v>
      </x:c>
      <x:c r="C149" s="24" t="str">
        <x:v>紫色</x:v>
      </x:c>
      <x:c r="D149" s="24" t="n">
        <x:v>67</x:v>
      </x:c>
      <x:c r="E149" s="24" t="str">
        <x:v>projectile_blocks_per_cooldown</x:v>
      </x:c>
      <x:c r="F149" s="24" t="str">
        <x:v>通用</x:v>
      </x:c>
      <x:c r="G149" s="24" t="n">
        <x:v>1</x:v>
      </x:c>
      <x:c r="H149" s="42" t="n">
        <x:v>1</x:v>
      </x:c>
      <x:c r="I149" s="24" t="str">
        <x:v>计数/模式</x:v>
      </x:c>
      <x:c r="J149" s="24" t="str">
        <x:v>机制确认/数值待试玩</x:v>
      </x:c>
      <x:c r="K149" s="24" t="str">
        <x:v>沿用</x:v>
      </x:c>
      <x:c r="L149" s="24" t="str">
        <x:v>12秒自动拦截一次敌方弹体，不防身体/荆棘，原4槽过重建议3槽。</x:v>
      </x:c>
      <x:c r="M149" s="24" t="str">
        <x:v>策划建议，尚未写入Godot</x:v>
      </x:c>
      <x:c r="N149" s="24" t="str">
        <x:v>https://github.com/zhipijun1996/gunman-rush/blob/26e7f2a4459623f35613a857da8a75e89daa3e62/scripts/combat/weapon_definition.gd</x:v>
      </x:c>
    </x:row>
    <x:row r="150" ht="40" customHeight="1">
      <x:c r="A150" s="24" t="str">
        <x:v>G05</x:v>
      </x:c>
      <x:c r="B150" s="24" t="str">
        <x:v>永恒钟卫</x:v>
      </x:c>
      <x:c r="C150" s="24" t="str">
        <x:v>金色</x:v>
      </x:c>
      <x:c r="D150" s="24" t="n">
        <x:v>69</x:v>
      </x:c>
      <x:c r="E150" s="24" t="str">
        <x:v>combat_energy_cost</x:v>
      </x:c>
      <x:c r="F150" s="24" t="str">
        <x:v>通用</x:v>
      </x:c>
      <x:c r="G150" s="24" t="n">
        <x:v>50</x:v>
      </x:c>
      <x:c r="H150" s="42" t="n">
        <x:v>50</x:v>
      </x:c>
      <x:c r="I150" s="24" t="str">
        <x:v>点/HP/金币</x:v>
      </x:c>
      <x:c r="J150" s="24" t="str">
        <x:v>机制确认/数值待试玩</x:v>
      </x:c>
      <x:c r="K150" s="24" t="str">
        <x:v>沿用</x:v>
      </x:c>
      <x:c r="L150" s="24" t="str">
        <x:v>仅一台大型钟卫，一次18秒、每1.8秒0.6D，50共鸣消耗较高，92金。</x:v>
      </x:c>
      <x:c r="M150" s="24" t="str">
        <x:v>策划建议，尚未写入Godot</x:v>
      </x:c>
      <x:c r="N150" s="24" t="str">
        <x:v>https://github.com/zhipijun1996/gunman-rush/blob/26e7f2a4459623f35613a857da8a75e89daa3e62/scripts/resources/state/combat_energy_state.gd</x:v>
      </x:c>
    </x:row>
    <x:row r="151" ht="40" customHeight="1">
      <x:c r="A151" s="24" t="str">
        <x:v>G05</x:v>
      </x:c>
      <x:c r="B151" s="24" t="str">
        <x:v>永恒钟卫</x:v>
      </x:c>
      <x:c r="C151" s="24" t="str">
        <x:v>金色</x:v>
      </x:c>
      <x:c r="D151" s="24" t="n">
        <x:v>69</x:v>
      </x:c>
      <x:c r="E151" s="24" t="str">
        <x:v>lifetime_s</x:v>
      </x:c>
      <x:c r="F151" s="24" t="str">
        <x:v>通用</x:v>
      </x:c>
      <x:c r="G151" s="24" t="n">
        <x:v>18</x:v>
      </x:c>
      <x:c r="H151" s="42" t="n">
        <x:v>18</x:v>
      </x:c>
      <x:c r="I151" s="24" t="str">
        <x:v>秒</x:v>
      </x:c>
      <x:c r="J151" s="24" t="str">
        <x:v>机制确认/数值待试玩</x:v>
      </x:c>
      <x:c r="K151" s="24" t="str">
        <x:v>沿用</x:v>
      </x:c>
      <x:c r="L151" s="24" t="str">
        <x:v>仅一台大型钟卫，一次18秒、每1.8秒0.6D，50共鸣消耗较高，92金。</x:v>
      </x:c>
      <x:c r="M151" s="24" t="str">
        <x:v>策划建议，尚未写入Godot</x:v>
      </x:c>
      <x:c r="N151" s="24" t="str">
        <x:v>https://github.com/zhipijun1996/gunman-rush/blob/26e7f2a4459623f35613a857da8a75e89daa3e62/scripts/resources/state/combat_energy_state.gd</x:v>
      </x:c>
    </x:row>
    <x:row r="152" ht="40" customHeight="1">
      <x:c r="A152" s="24" t="str">
        <x:v>G05</x:v>
      </x:c>
      <x:c r="B152" s="24" t="str">
        <x:v>永恒钟卫</x:v>
      </x:c>
      <x:c r="C152" s="24" t="str">
        <x:v>金色</x:v>
      </x:c>
      <x:c r="D152" s="24" t="n">
        <x:v>69</x:v>
      </x:c>
      <x:c r="E152" s="24" t="str">
        <x:v>attack_interval_s</x:v>
      </x:c>
      <x:c r="F152" s="24" t="str">
        <x:v>通用</x:v>
      </x:c>
      <x:c r="G152" s="24" t="n">
        <x:v>1.5</x:v>
      </x:c>
      <x:c r="H152" s="42" t="n">
        <x:v>1.8</x:v>
      </x:c>
      <x:c r="I152" s="24" t="str">
        <x:v>秒</x:v>
      </x:c>
      <x:c r="J152" s="24" t="str">
        <x:v>机制确认/数值待试玩</x:v>
      </x:c>
      <x:c r="K152" s="24" t="str">
        <x:v>变更/新增</x:v>
      </x:c>
      <x:c r="L152" s="24" t="str">
        <x:v>仅一台大型钟卫，一次18秒、每1.8秒0.6D，50共鸣消耗较高，92金。</x:v>
      </x:c>
      <x:c r="M152" s="24" t="str">
        <x:v>策划建议，尚未写入Godot</x:v>
      </x:c>
      <x:c r="N152" s="24" t="str">
        <x:v>https://github.com/zhipijun1996/gunman-rush/blob/26e7f2a4459623f35613a857da8a75e89daa3e62/scripts/resources/state/combat_energy_state.gd</x:v>
      </x:c>
    </x:row>
    <x:row r="153" ht="40" customHeight="1">
      <x:c r="A153" s="24" t="str">
        <x:v>G05</x:v>
      </x:c>
      <x:c r="B153" s="24" t="str">
        <x:v>永恒钟卫</x:v>
      </x:c>
      <x:c r="C153" s="24" t="str">
        <x:v>金色</x:v>
      </x:c>
      <x:c r="D153" s="24" t="n">
        <x:v>69</x:v>
      </x:c>
      <x:c r="E153" s="24" t="str">
        <x:v>attack_damage_ratio_D</x:v>
      </x:c>
      <x:c r="F153" s="24" t="str">
        <x:v>通用</x:v>
      </x:c>
      <x:c r="G153" s="24" t="n">
        <x:v>0.25</x:v>
      </x:c>
      <x:c r="H153" s="42" t="n">
        <x:v>0.6</x:v>
      </x:c>
      <x:c r="I153" s="24" t="str">
        <x:v>倍率</x:v>
      </x:c>
      <x:c r="J153" s="24" t="str">
        <x:v>机制确认/数值待试玩</x:v>
      </x:c>
      <x:c r="K153" s="24" t="str">
        <x:v>变更/新增</x:v>
      </x:c>
      <x:c r="L153" s="24" t="str">
        <x:v>仅一台大型钟卫，一次18秒、每1.8秒0.6D，50共鸣消耗较高，92金。</x:v>
      </x:c>
      <x:c r="M153" s="24" t="str">
        <x:v>策划建议，尚未写入Godot</x:v>
      </x:c>
      <x:c r="N153" s="24" t="str">
        <x:v>https://github.com/zhipijun1996/gunman-rush/blob/26e7f2a4459623f35613a857da8a75e89daa3e62/scripts/resources/state/combat_energy_state.gd</x:v>
      </x:c>
    </x:row>
    <x:row r="154" ht="40" customHeight="1">
      <x:c r="A154" s="24" t="str">
        <x:v>G05</x:v>
      </x:c>
      <x:c r="B154" s="24" t="str">
        <x:v>永恒钟卫</x:v>
      </x:c>
      <x:c r="C154" s="24" t="str">
        <x:v>金色</x:v>
      </x:c>
      <x:c r="D154" s="24" t="n">
        <x:v>69</x:v>
      </x:c>
      <x:c r="E154" s="24" t="str">
        <x:v>max_large_drones</x:v>
      </x:c>
      <x:c r="F154" s="24" t="str">
        <x:v>通用</x:v>
      </x:c>
      <x:c r="G154" s="24" t="str"/>
      <x:c r="H154" s="42" t="n">
        <x:v>1</x:v>
      </x:c>
      <x:c r="I154" s="24" t="str">
        <x:v>计数/模式</x:v>
      </x:c>
      <x:c r="J154" s="24" t="str">
        <x:v>机制确认/数值待试玩</x:v>
      </x:c>
      <x:c r="K154" s="24" t="str">
        <x:v>变更/新增</x:v>
      </x:c>
      <x:c r="L154" s="24" t="str">
        <x:v>仅一台大型钟卫，一次18秒、每1.8秒0.6D，50共鸣消耗较高，92金。</x:v>
      </x:c>
      <x:c r="M154" s="24" t="str">
        <x:v>策划建议，尚未写入Godot</x:v>
      </x:c>
      <x:c r="N154" s="24" t="str">
        <x:v>https://github.com/zhipijun1996/gunman-rush/blob/26e7f2a4459623f35613a857da8a75e89daa3e62/scripts/resources/state/combat_energy_state.gd</x:v>
      </x:c>
    </x:row>
    <x:row r="155" ht="40" customHeight="1">
      <x:c r="A155" s="24" t="str">
        <x:v>G05</x:v>
      </x:c>
      <x:c r="B155" s="24" t="str">
        <x:v>永恒钟卫</x:v>
      </x:c>
      <x:c r="C155" s="24" t="str">
        <x:v>金色</x:v>
      </x:c>
      <x:c r="D155" s="24" t="n">
        <x:v>69</x:v>
      </x:c>
      <x:c r="E155" s="24" t="str">
        <x:v>skill_cooldown_s</x:v>
      </x:c>
      <x:c r="F155" s="24" t="str">
        <x:v>通用</x:v>
      </x:c>
      <x:c r="G155" s="24" t="str"/>
      <x:c r="H155" s="42" t="n">
        <x:v>12</x:v>
      </x:c>
      <x:c r="I155" s="24" t="str">
        <x:v>秒</x:v>
      </x:c>
      <x:c r="J155" s="24" t="str">
        <x:v>机制确认/数值待试玩</x:v>
      </x:c>
      <x:c r="K155" s="24" t="str">
        <x:v>变更/新增</x:v>
      </x:c>
      <x:c r="L155" s="24" t="str">
        <x:v>仅一台大型钟卫，一次18秒、每1.8秒0.6D，50共鸣消耗较高，92金。</x:v>
      </x:c>
      <x:c r="M155" s="24" t="str">
        <x:v>策划建议，尚未写入Godot</x:v>
      </x:c>
      <x:c r="N155" s="24" t="str">
        <x:v>https://github.com/zhipijun1996/gunman-rush/blob/26e7f2a4459623f35613a857da8a75e89daa3e62/scripts/resources/state/combat_energy_state.gd</x:v>
      </x:c>
    </x:row>
    <x:row r="156" ht="40" customHeight="1">
      <x:c r="A156" s="24" t="str">
        <x:v>G06</x:v>
      </x:c>
      <x:c r="B156" s="24" t="str">
        <x:v>千鸣钟冠</x:v>
      </x:c>
      <x:c r="C156" s="24" t="str">
        <x:v>金色</x:v>
      </x:c>
      <x:c r="D156" s="24" t="n">
        <x:v>70</x:v>
      </x:c>
      <x:c r="E156" s="24" t="str">
        <x:v>chain_targets</x:v>
      </x:c>
      <x:c r="F156" s="24" t="str">
        <x:v>通用</x:v>
      </x:c>
      <x:c r="G156" s="24" t="n">
        <x:v>3</x:v>
      </x:c>
      <x:c r="H156" s="42" t="n">
        <x:v>3</x:v>
      </x:c>
      <x:c r="I156" s="24" t="str">
        <x:v>计数/模式</x:v>
      </x:c>
      <x:c r="J156" s="24" t="str">
        <x:v>机制确认/数值待试玩</x:v>
      </x:c>
      <x:c r="K156" s="24" t="str">
        <x:v>沿用</x:v>
      </x:c>
      <x:c r="L156" s="24" t="str">
        <x:v>被动3目标各0.25D链伤、1.5秒CD，高性价比但只对群怪，有Boss短板。</x:v>
      </x:c>
      <x:c r="M156" s="24" t="str">
        <x:v>策划建议，尚未写入Godot</x:v>
      </x:c>
      <x:c r="N156" s="24" t="str">
        <x:v>https://github.com/zhipijun1996/gunman-rush/blob/26e7f2a4459623f35613a857da8a75e89daa3e62/scripts/combat/weapon_definition.gd</x:v>
      </x:c>
    </x:row>
    <x:row r="157" ht="40" customHeight="1">
      <x:c r="A157" s="24" t="str">
        <x:v>G06</x:v>
      </x:c>
      <x:c r="B157" s="24" t="str">
        <x:v>千鸣钟冠</x:v>
      </x:c>
      <x:c r="C157" s="24" t="str">
        <x:v>金色</x:v>
      </x:c>
      <x:c r="D157" s="24" t="n">
        <x:v>70</x:v>
      </x:c>
      <x:c r="E157" s="24" t="str">
        <x:v>chain_damage_ratio_D</x:v>
      </x:c>
      <x:c r="F157" s="24" t="str">
        <x:v>通用</x:v>
      </x:c>
      <x:c r="G157" s="24" t="n">
        <x:v>0.25</x:v>
      </x:c>
      <x:c r="H157" s="42" t="n">
        <x:v>0.25</x:v>
      </x:c>
      <x:c r="I157" s="24" t="str">
        <x:v>倍率</x:v>
      </x:c>
      <x:c r="J157" s="24" t="str">
        <x:v>机制确认/数值待试玩</x:v>
      </x:c>
      <x:c r="K157" s="24" t="str">
        <x:v>沿用</x:v>
      </x:c>
      <x:c r="L157" s="24" t="str">
        <x:v>被动3目标各0.25D链伤、1.5秒CD，高性价比但只对群怪，有Boss短板。</x:v>
      </x:c>
      <x:c r="M157" s="24" t="str">
        <x:v>策划建议，尚未写入Godot</x:v>
      </x:c>
      <x:c r="N157" s="24" t="str">
        <x:v>https://github.com/zhipijun1996/gunman-rush/blob/26e7f2a4459623f35613a857da8a75e89daa3e62/scripts/combat/weapon_definition.gd</x:v>
      </x:c>
    </x:row>
    <x:row r="158" ht="40" customHeight="1">
      <x:c r="A158" s="24" t="str">
        <x:v>G06</x:v>
      </x:c>
      <x:c r="B158" s="24" t="str">
        <x:v>千鸣钟冠</x:v>
      </x:c>
      <x:c r="C158" s="24" t="str">
        <x:v>金色</x:v>
      </x:c>
      <x:c r="D158" s="24" t="n">
        <x:v>70</x:v>
      </x:c>
      <x:c r="E158" s="24" t="str">
        <x:v>chain_radius_px</x:v>
      </x:c>
      <x:c r="F158" s="24" t="str">
        <x:v>通用</x:v>
      </x:c>
      <x:c r="G158" s="24" t="n">
        <x:v>160</x:v>
      </x:c>
      <x:c r="H158" s="42" t="n">
        <x:v>160</x:v>
      </x:c>
      <x:c r="I158" s="24" t="str">
        <x:v>世界单位</x:v>
      </x:c>
      <x:c r="J158" s="24" t="str">
        <x:v>机制确认/数值待试玩</x:v>
      </x:c>
      <x:c r="K158" s="24" t="str">
        <x:v>沿用</x:v>
      </x:c>
      <x:c r="L158" s="24" t="str">
        <x:v>被动3目标各0.25D链伤、1.5秒CD，高性价比但只对群怪，有Boss短板。</x:v>
      </x:c>
      <x:c r="M158" s="24" t="str">
        <x:v>策划建议，尚未写入Godot</x:v>
      </x:c>
      <x:c r="N158" s="24" t="str">
        <x:v>https://github.com/zhipijun1996/gunman-rush/blob/26e7f2a4459623f35613a857da8a75e89daa3e62/scripts/combat/weapon_definition.gd</x:v>
      </x:c>
    </x:row>
    <x:row r="159" ht="40" customHeight="1">
      <x:c r="A159" s="24" t="str">
        <x:v>B01</x:v>
      </x:c>
      <x:c r="B159" s="24" t="str">
        <x:v>拾铃磁盘</x:v>
      </x:c>
      <x:c r="C159" s="24" t="str">
        <x:v>蓝色</x:v>
      </x:c>
      <x:c r="D159" s="24" t="n">
        <x:v>71</x:v>
      </x:c>
      <x:c r="E159" s="24" t="str">
        <x:v>pickup_radius_px</x:v>
      </x:c>
      <x:c r="F159" s="24" t="str">
        <x:v>通用</x:v>
      </x:c>
      <x:c r="G159" s="24" t="n">
        <x:v>200</x:v>
      </x:c>
      <x:c r="H159" s="42" t="n">
        <x:v>200</x:v>
      </x:c>
      <x:c r="I159" s="24" t="str">
        <x:v>世界单位</x:v>
      </x:c>
      <x:c r="J159" s="24" t="str">
        <x:v>机制确认/数值待试玩</x:v>
      </x:c>
      <x:c r="K159" s="24" t="str">
        <x:v>沿用</x:v>
      </x:c>
      <x:c r="L159" s="24" t="str">
        <x:v>只减操作不增资源；1槽便捷性高，现有大地图有拾取路线，维持低价。</x:v>
      </x:c>
      <x:c r="M159" s="24" t="str">
        <x:v>策划建议，尚未写入Godot</x:v>
      </x:c>
      <x:c r="N159" s="24" t="str">
        <x:v>https://github.com/zhipijun1996/gunman-rush/blob/26e7f2a4459623f35613a857da8a75e89daa3e62/scripts/generation/plains_region_generator.gd</x:v>
      </x:c>
    </x:row>
    <x:row r="160" ht="40" customHeight="1">
      <x:c r="A160" s="24" t="str">
        <x:v>B01</x:v>
      </x:c>
      <x:c r="B160" s="24" t="str">
        <x:v>拾铃磁盘</x:v>
      </x:c>
      <x:c r="C160" s="24" t="str">
        <x:v>蓝色</x:v>
      </x:c>
      <x:c r="D160" s="24" t="n">
        <x:v>71</x:v>
      </x:c>
      <x:c r="E160" s="24" t="str">
        <x:v>resource_pickup_mask</x:v>
      </x:c>
      <x:c r="F160" s="24" t="str">
        <x:v>通用</x:v>
      </x:c>
      <x:c r="G160" s="24" t="str"/>
      <x:c r="H160" s="42" t="str">
        <x:v>coin|meta_note|health_pickup|energy_pickup</x:v>
      </x:c>
      <x:c r="I160" s="24" t="str">
        <x:v>计数/模式</x:v>
      </x:c>
      <x:c r="J160" s="24" t="str">
        <x:v>机制确认/数值待试玩</x:v>
      </x:c>
      <x:c r="K160" s="24" t="str">
        <x:v>变更/新增</x:v>
      </x:c>
      <x:c r="L160" s="24" t="str">
        <x:v>只减操作不增资源；1槽便捷性高，现有大地图有拾取路线，维持低价。</x:v>
      </x:c>
      <x:c r="M160" s="24" t="str">
        <x:v>策划建议，尚未写入Godot</x:v>
      </x:c>
      <x:c r="N160" s="24" t="str">
        <x:v>https://github.com/zhipijun1996/gunman-rush/blob/26e7f2a4459623f35613a857da8a75e89daa3e62/scripts/generation/plains_region_generator.gd</x:v>
      </x:c>
    </x:row>
    <x:row r="161" ht="40" customHeight="1">
      <x:c r="A161" s="24" t="str">
        <x:v>B01</x:v>
      </x:c>
      <x:c r="B161" s="24" t="str">
        <x:v>拾铃磁盘</x:v>
      </x:c>
      <x:c r="C161" s="24" t="str">
        <x:v>蓝色</x:v>
      </x:c>
      <x:c r="D161" s="24" t="n">
        <x:v>71</x:v>
      </x:c>
      <x:c r="E161" s="24" t="str">
        <x:v>auto_collect_reward_objects</x:v>
      </x:c>
      <x:c r="F161" s="24" t="str">
        <x:v>通用</x:v>
      </x:c>
      <x:c r="G161" s="24" t="str"/>
      <x:c r="H161" s="42" t="n">
        <x:v>0</x:v>
      </x:c>
      <x:c r="I161" s="24" t="str">
        <x:v>计数/模式</x:v>
      </x:c>
      <x:c r="J161" s="24" t="str">
        <x:v>机制确认/数值待试玩</x:v>
      </x:c>
      <x:c r="K161" s="24" t="str">
        <x:v>变更/新增</x:v>
      </x:c>
      <x:c r="L161" s="24" t="str">
        <x:v>只减操作不增资源；1槽便捷性高，现有大地图有拾取路线，维持低价。</x:v>
      </x:c>
      <x:c r="M161" s="24" t="str">
        <x:v>策划建议，尚未写入Godot</x:v>
      </x:c>
      <x:c r="N161" s="24" t="str">
        <x:v>https://github.com/zhipijun1996/gunman-rush/blob/26e7f2a4459623f35613a857da8a75e89daa3e62/scripts/generation/plains_region_generator.gd</x:v>
      </x:c>
    </x:row>
    <x:row r="162" ht="40" customHeight="1">
      <x:c r="A162" s="24" t="str">
        <x:v>B16</x:v>
      </x:c>
      <x:c r="B162" s="24" t="str">
        <x:v>裂纹钱袋</x:v>
      </x:c>
      <x:c r="C162" s="24" t="str">
        <x:v>蓝色</x:v>
      </x:c>
      <x:c r="D162" s="24" t="n">
        <x:v>73</x:v>
      </x:c>
      <x:c r="E162" s="24" t="str">
        <x:v>bonus_coin_per_kill</x:v>
      </x:c>
      <x:c r="F162" s="24" t="str">
        <x:v>通用</x:v>
      </x:c>
      <x:c r="G162" s="24" t="n">
        <x:v>1</x:v>
      </x:c>
      <x:c r="H162" s="42" t="n">
        <x:v>1</x:v>
      </x:c>
      <x:c r="I162" s="24" t="str">
        <x:v>计数/模式</x:v>
      </x:c>
      <x:c r="J162" s="24" t="str">
        <x:v>机制确认/数值待试玩</x:v>
      </x:c>
      <x:c r="K162" s="24" t="str">
        <x:v>沿用</x:v>
      </x:c>
      <x:c r="L162" s="24" t="str">
        <x:v>每图最多赚8金币，跨图可能回本慢；35原价过贵，降至23且修复20。</x:v>
      </x:c>
      <x:c r="M162" s="24" t="str">
        <x:v>策划建议，尚未写入Godot</x:v>
      </x:c>
      <x:c r="N162" s="24" t="str">
        <x:v>https://github.com/zhipijun1996/gunman-rush/blob/26e7f2a4459623f35613a857da8a75e89daa3e62/scripts/generation/plains_region_generator.gd</x:v>
      </x:c>
    </x:row>
    <x:row r="163" ht="40" customHeight="1">
      <x:c r="A163" s="24" t="str">
        <x:v>B16</x:v>
      </x:c>
      <x:c r="B163" s="24" t="str">
        <x:v>裂纹钱袋</x:v>
      </x:c>
      <x:c r="C163" s="24" t="str">
        <x:v>蓝色</x:v>
      </x:c>
      <x:c r="D163" s="24" t="n">
        <x:v>73</x:v>
      </x:c>
      <x:c r="E163" s="24" t="str">
        <x:v>max_bonus_kills_per_map</x:v>
      </x:c>
      <x:c r="F163" s="24" t="str">
        <x:v>通用</x:v>
      </x:c>
      <x:c r="G163" s="24" t="n">
        <x:v>8</x:v>
      </x:c>
      <x:c r="H163" s="42" t="n">
        <x:v>8</x:v>
      </x:c>
      <x:c r="I163" s="24" t="str">
        <x:v>计数/模式</x:v>
      </x:c>
      <x:c r="J163" s="24" t="str">
        <x:v>机制确认/数值待试玩</x:v>
      </x:c>
      <x:c r="K163" s="24" t="str">
        <x:v>沿用</x:v>
      </x:c>
      <x:c r="L163" s="24" t="str">
        <x:v>每图最多赚8金币，跨图可能回本慢；35原价过贵，降至23且修复20。</x:v>
      </x:c>
      <x:c r="M163" s="24" t="str">
        <x:v>策划建议，尚未写入Godot</x:v>
      </x:c>
      <x:c r="N163" s="24" t="str">
        <x:v>https://github.com/zhipijun1996/gunman-rush/blob/26e7f2a4459623f35613a857da8a75e89daa3e62/scripts/generation/plains_region_generator.gd</x:v>
      </x:c>
    </x:row>
    <x:row r="164" ht="40" customHeight="1">
      <x:c r="A164" s="24" t="str">
        <x:v>B16</x:v>
      </x:c>
      <x:c r="B164" s="24" t="str">
        <x:v>裂纹钱袋</x:v>
      </x:c>
      <x:c r="C164" s="24" t="str">
        <x:v>蓝色</x:v>
      </x:c>
      <x:c r="D164" s="24" t="n">
        <x:v>73</x:v>
      </x:c>
      <x:c r="E164" s="24" t="str">
        <x:v>break_on_hits</x:v>
      </x:c>
      <x:c r="F164" s="24" t="str">
        <x:v>通用</x:v>
      </x:c>
      <x:c r="G164" s="24" t="n">
        <x:v>1</x:v>
      </x:c>
      <x:c r="H164" s="42" t="n">
        <x:v>3</x:v>
      </x:c>
      <x:c r="I164" s="24" t="str">
        <x:v>计数/模式</x:v>
      </x:c>
      <x:c r="J164" s="24" t="str">
        <x:v>机制确认/数值待试玩</x:v>
      </x:c>
      <x:c r="K164" s="24" t="str">
        <x:v>变更/新增</x:v>
      </x:c>
      <x:c r="L164" s="24" t="str">
        <x:v>每图最多赚8金币，跨图可能回本慢；35原价过贵，降至23且修复20。</x:v>
      </x:c>
      <x:c r="M164" s="24" t="str">
        <x:v>策划建议，尚未写入Godot</x:v>
      </x:c>
      <x:c r="N164" s="24" t="str">
        <x:v>https://github.com/zhipijun1996/gunman-rush/blob/26e7f2a4459623f35613a857da8a75e89daa3e62/scripts/generation/plains_region_generator.gd</x:v>
      </x:c>
    </x:row>
    <x:row r="165" ht="40" customHeight="1">
      <x:c r="A165" s="24" t="str">
        <x:v>B16</x:v>
      </x:c>
      <x:c r="B165" s="24" t="str">
        <x:v>裂纹钱袋</x:v>
      </x:c>
      <x:c r="C165" s="24" t="str">
        <x:v>蓝色</x:v>
      </x:c>
      <x:c r="D165" s="24" t="n">
        <x:v>73</x:v>
      </x:c>
      <x:c r="E165" s="24" t="str">
        <x:v>repair_price</x:v>
      </x:c>
      <x:c r="F165" s="24" t="str">
        <x:v>通用</x:v>
      </x:c>
      <x:c r="G165" s="24" t="n">
        <x:v>12</x:v>
      </x:c>
      <x:c r="H165" s="42" t="n">
        <x:v>20</x:v>
      </x:c>
      <x:c r="I165" s="24" t="str">
        <x:v>点/HP/金币</x:v>
      </x:c>
      <x:c r="J165" s="24" t="str">
        <x:v>机制确认/数值待试玩</x:v>
      </x:c>
      <x:c r="K165" s="24" t="str">
        <x:v>变更/新增</x:v>
      </x:c>
      <x:c r="L165" s="24" t="str">
        <x:v>每图最多赚8金币，跨图可能回本慢；35原价过贵，降至23且修复20。</x:v>
      </x:c>
      <x:c r="M165" s="24" t="str">
        <x:v>策划建议，尚未写入Godot</x:v>
      </x:c>
      <x:c r="N165" s="24" t="str">
        <x:v>https://github.com/zhipijun1996/gunman-rush/blob/26e7f2a4459623f35613a857da8a75e89daa3e62/scripts/generation/plains_region_generator.gd</x:v>
      </x:c>
    </x:row>
    <x:row r="166" ht="40" customHeight="1">
      <x:c r="A166" s="24" t="str">
        <x:v>B20</x:v>
      </x:c>
      <x:c r="B166" s="24" t="str">
        <x:v>盗铃钩齿</x:v>
      </x:c>
      <x:c r="C166" s="24" t="str">
        <x:v>蓝色</x:v>
      </x:c>
      <x:c r="D166" s="24" t="n">
        <x:v>74</x:v>
      </x:c>
      <x:c r="E166" s="24" t="str">
        <x:v>coin_per_enemy</x:v>
      </x:c>
      <x:c r="F166" s="24" t="str">
        <x:v>通用</x:v>
      </x:c>
      <x:c r="G166" s="24" t="n">
        <x:v>1</x:v>
      </x:c>
      <x:c r="H166" s="42" t="n">
        <x:v>1</x:v>
      </x:c>
      <x:c r="I166" s="24" t="str">
        <x:v>计数/模式</x:v>
      </x:c>
      <x:c r="J166" s="24" t="str">
        <x:v>机制确认/数值待试玩</x:v>
      </x:c>
      <x:c r="K166" s="24" t="str">
        <x:v>沿用</x:v>
      </x:c>
      <x:c r="L166" s="24" t="str">
        <x:v>钩索主动攻击每敌人首次+1金币、单图封顶10，早买才有价值，降价。</x:v>
      </x:c>
      <x:c r="M166" s="24" t="str">
        <x:v>策划建议，尚未写入Godot</x:v>
      </x:c>
      <x:c r="N166" s="24" t="str">
        <x:v>https://github.com/zhipijun1996/gunman-rush/blob/26e7f2a4459623f35613a857da8a75e89daa3e62/scripts/generation/plains_region_generator.gd</x:v>
      </x:c>
    </x:row>
    <x:row r="167" ht="40" customHeight="1">
      <x:c r="A167" s="24" t="str">
        <x:v>B20</x:v>
      </x:c>
      <x:c r="B167" s="24" t="str">
        <x:v>盗铃钩齿</x:v>
      </x:c>
      <x:c r="C167" s="24" t="str">
        <x:v>蓝色</x:v>
      </x:c>
      <x:c r="D167" s="24" t="n">
        <x:v>74</x:v>
      </x:c>
      <x:c r="E167" s="24" t="str">
        <x:v>map_coin_cap</x:v>
      </x:c>
      <x:c r="F167" s="24" t="str">
        <x:v>通用</x:v>
      </x:c>
      <x:c r="G167" s="24" t="n">
        <x:v>10</x:v>
      </x:c>
      <x:c r="H167" s="42" t="n">
        <x:v>10</x:v>
      </x:c>
      <x:c r="I167" s="24" t="str">
        <x:v>计数/模式</x:v>
      </x:c>
      <x:c r="J167" s="24" t="str">
        <x:v>机制确认/数值待试玩</x:v>
      </x:c>
      <x:c r="K167" s="24" t="str">
        <x:v>沿用</x:v>
      </x:c>
      <x:c r="L167" s="24" t="str">
        <x:v>钩索主动攻击每敌人首次+1金币、单图封顶10，早买才有价值，降价。</x:v>
      </x:c>
      <x:c r="M167" s="24" t="str">
        <x:v>策划建议，尚未写入Godot</x:v>
      </x:c>
      <x:c r="N167" s="24" t="str">
        <x:v>https://github.com/zhipijun1996/gunman-rush/blob/26e7f2a4459623f35613a857da8a75e89daa3e62/scripts/generation/plains_region_generator.gd</x:v>
      </x:c>
    </x:row>
    <x:row r="168" ht="40" customHeight="1">
      <x:c r="A168" s="24" t="str">
        <x:v>P39</x:v>
      </x:c>
      <x:c r="B168" s="24" t="str">
        <x:v>盗贼旧誓</x:v>
      </x:c>
      <x:c r="C168" s="24" t="str">
        <x:v>紫色</x:v>
      </x:c>
      <x:c r="D168" s="24" t="n">
        <x:v>75</x:v>
      </x:c>
      <x:c r="E168" s="24" t="str">
        <x:v>kill_coin_multiplier</x:v>
      </x:c>
      <x:c r="F168" s="24" t="str">
        <x:v>通用</x:v>
      </x:c>
      <x:c r="G168" s="24" t="n">
        <x:v>1.25</x:v>
      </x:c>
      <x:c r="H168" s="42" t="n">
        <x:v>1.25</x:v>
      </x:c>
      <x:c r="I168" s="24" t="str">
        <x:v>倍率</x:v>
      </x:c>
      <x:c r="J168" s="24" t="str">
        <x:v>机制确认/数值待试玩</x:v>
      </x:c>
      <x:c r="K168" s="24" t="str">
        <x:v>沿用</x:v>
      </x:c>
      <x:c r="L168" s="24" t="str">
        <x:v>仅击杀金币+25%，平均赚够18金需72枚基础击杀金币，建议仅早期奖励投放。</x:v>
      </x:c>
      <x:c r="M168" s="24" t="str">
        <x:v>策划建议，尚未写入Godot</x:v>
      </x:c>
      <x:c r="N168" s="24" t="str">
        <x:v>https://github.com/zhipijun1996/gunman-rush/blob/26e7f2a4459623f35613a857da8a75e89daa3e62/scripts/generation/plains_region_generator.gd</x:v>
      </x:c>
    </x:row>
    <x:row r="169" ht="40" customHeight="1">
      <x:c r="A169" s="24" t="str">
        <x:v>P39</x:v>
      </x:c>
      <x:c r="B169" s="24" t="str">
        <x:v>盗贼旧誓</x:v>
      </x:c>
      <x:c r="C169" s="24" t="str">
        <x:v>紫色</x:v>
      </x:c>
      <x:c r="D169" s="24" t="n">
        <x:v>75</x:v>
      </x:c>
      <x:c r="E169" s="24" t="str">
        <x:v>lose_coins_on_damage</x:v>
      </x:c>
      <x:c r="F169" s="24" t="str">
        <x:v>通用</x:v>
      </x:c>
      <x:c r="G169" s="24" t="str"/>
      <x:c r="H169" s="42" t="n">
        <x:v>0</x:v>
      </x:c>
      <x:c r="I169" s="24" t="str">
        <x:v>计数/模式</x:v>
      </x:c>
      <x:c r="J169" s="24" t="str">
        <x:v>机制确认/数值待试玩</x:v>
      </x:c>
      <x:c r="K169" s="24" t="str">
        <x:v>变更/新增</x:v>
      </x:c>
      <x:c r="L169" s="24" t="str">
        <x:v>仅击杀金币+25%，平均赚够18金需72枚基础击杀金币，建议仅早期奖励投放。</x:v>
      </x:c>
      <x:c r="M169" s="24" t="str">
        <x:v>策划建议，尚未写入Godot</x:v>
      </x:c>
      <x:c r="N169" s="24" t="str">
        <x:v>https://github.com/zhipijun1996/gunman-rush/blob/26e7f2a4459623f35613a857da8a75e89daa3e62/scripts/generation/plains_region_generator.gd</x:v>
      </x:c>
    </x:row>
    <x:row r="170" ht="40" customHeight="1">
      <x:c r="A170" s="24" t="str">
        <x:v>G10</x:v>
      </x:c>
      <x:c r="B170" s="24" t="str">
        <x:v>不朽钱袋</x:v>
      </x:c>
      <x:c r="C170" s="24" t="str">
        <x:v>金色</x:v>
      </x:c>
      <x:c r="D170" s="24" t="n">
        <x:v>76</x:v>
      </x:c>
      <x:c r="E170" s="24" t="str">
        <x:v>bonus_coin_per_kill</x:v>
      </x:c>
      <x:c r="F170" s="24" t="str">
        <x:v>通用</x:v>
      </x:c>
      <x:c r="G170" s="24" t="n">
        <x:v>2</x:v>
      </x:c>
      <x:c r="H170" s="42" t="n">
        <x:v>2</x:v>
      </x:c>
      <x:c r="I170" s="24" t="str">
        <x:v>计数/模式</x:v>
      </x:c>
      <x:c r="J170" s="24" t="str">
        <x:v>机制确认/数值待试玩</x:v>
      </x:c>
      <x:c r="K170" s="24" t="str">
        <x:v>沿用</x:v>
      </x:c>
      <x:c r="L170" s="24" t="str">
        <x:v>每张地图最多12额外金币、两图24；原价120无法回本，建议63但仍偏后期奖励。</x:v>
      </x:c>
      <x:c r="M170" s="24" t="str">
        <x:v>策划建议，尚未写入Godot</x:v>
      </x:c>
      <x:c r="N170" s="24" t="str">
        <x:v>https://github.com/zhipijun1996/gunman-rush/blob/26e7f2a4459623f35613a857da8a75e89daa3e62/scripts/generation/plains_region_generator.gd</x:v>
      </x:c>
    </x:row>
    <x:row r="171" ht="40" customHeight="1">
      <x:c r="A171" s="24" t="str">
        <x:v>G10</x:v>
      </x:c>
      <x:c r="B171" s="24" t="str">
        <x:v>不朽钱袋</x:v>
      </x:c>
      <x:c r="C171" s="24" t="str">
        <x:v>金色</x:v>
      </x:c>
      <x:c r="D171" s="24" t="n">
        <x:v>76</x:v>
      </x:c>
      <x:c r="E171" s="24" t="str">
        <x:v>max_bonus_kills_per_map</x:v>
      </x:c>
      <x:c r="F171" s="24" t="str">
        <x:v>通用</x:v>
      </x:c>
      <x:c r="G171" s="24" t="n">
        <x:v>6</x:v>
      </x:c>
      <x:c r="H171" s="42" t="n">
        <x:v>6</x:v>
      </x:c>
      <x:c r="I171" s="24" t="str">
        <x:v>计数/模式</x:v>
      </x:c>
      <x:c r="J171" s="24" t="str">
        <x:v>机制确认/数值待试玩</x:v>
      </x:c>
      <x:c r="K171" s="24" t="str">
        <x:v>沿用</x:v>
      </x:c>
      <x:c r="L171" s="24" t="str">
        <x:v>每张地图最多12额外金币、两图24；原价120无法回本，建议63但仍偏后期奖励。</x:v>
      </x:c>
      <x:c r="M171" s="24" t="str">
        <x:v>策划建议，尚未写入Godot</x:v>
      </x:c>
      <x:c r="N171" s="24" t="str">
        <x:v>https://github.com/zhipijun1996/gunman-rush/blob/26e7f2a4459623f35613a857da8a75e89daa3e62/scripts/generation/plains_region_generator.gd</x:v>
      </x:c>
    </x:row>
    <x:row r="172" ht="40" customHeight="1">
      <x:c r="A172" s="24" t="str">
        <x:v>G12</x:v>
      </x:c>
      <x:c r="B172" s="24" t="str">
        <x:v>错位命运骰</x:v>
      </x:c>
      <x:c r="C172" s="24" t="str">
        <x:v>金色</x:v>
      </x:c>
      <x:c r="D172" s="24" t="n">
        <x:v>77</x:v>
      </x:c>
      <x:c r="E172" s="24" t="str">
        <x:v>free_rerolls_per_map</x:v>
      </x:c>
      <x:c r="F172" s="24" t="str">
        <x:v>通用</x:v>
      </x:c>
      <x:c r="G172" s="24" t="n">
        <x:v>1</x:v>
      </x:c>
      <x:c r="H172" s="42" t="n">
        <x:v>1</x:v>
      </x:c>
      <x:c r="I172" s="24" t="str">
        <x:v>计数/模式</x:v>
      </x:c>
      <x:c r="J172" s="24" t="str">
        <x:v>机制确认/数值待试玩</x:v>
      </x:c>
      <x:c r="K172" s="24" t="str">
        <x:v>沿用</x:v>
      </x:c>
      <x:c r="L172" s="24" t="str">
        <x:v>更高紫金概率只在商店刷新生效；没有多商品正式商店时收益很低，建议74。</x:v>
      </x:c>
      <x:c r="M172" s="24" t="str">
        <x:v>策划建议，尚未写入Godot</x:v>
      </x:c>
      <x:c r="N172" s="24" t="str">
        <x:v>https://github.com/zhipijun1996/gunman-rush/blob/26e7f2a4459623f35613a857da8a75e89daa3e62/scripts/generation/plains_region_generator.gd</x:v>
      </x:c>
    </x:row>
    <x:row r="173" ht="40" customHeight="1">
      <x:c r="A173" s="24" t="str">
        <x:v>G12</x:v>
      </x:c>
      <x:c r="B173" s="24" t="str">
        <x:v>错位命运骰</x:v>
      </x:c>
      <x:c r="C173" s="24" t="str">
        <x:v>金色</x:v>
      </x:c>
      <x:c r="D173" s="24" t="n">
        <x:v>77</x:v>
      </x:c>
      <x:c r="E173" s="24" t="str">
        <x:v>purple_bonus_pp</x:v>
      </x:c>
      <x:c r="F173" s="24" t="str">
        <x:v>通用</x:v>
      </x:c>
      <x:c r="G173" s="24" t="n">
        <x:v>10</x:v>
      </x:c>
      <x:c r="H173" s="42" t="n">
        <x:v>10</x:v>
      </x:c>
      <x:c r="I173" s="24" t="str">
        <x:v>计数/模式</x:v>
      </x:c>
      <x:c r="J173" s="24" t="str">
        <x:v>机制确认/数值待试玩</x:v>
      </x:c>
      <x:c r="K173" s="24" t="str">
        <x:v>沿用</x:v>
      </x:c>
      <x:c r="L173" s="24" t="str">
        <x:v>更高紫金概率只在商店刷新生效；没有多商品正式商店时收益很低，建议74。</x:v>
      </x:c>
      <x:c r="M173" s="24" t="str">
        <x:v>策划建议，尚未写入Godot</x:v>
      </x:c>
      <x:c r="N173" s="24" t="str">
        <x:v>https://github.com/zhipijun1996/gunman-rush/blob/26e7f2a4459623f35613a857da8a75e89daa3e62/scripts/generation/plains_region_generator.gd</x:v>
      </x:c>
    </x:row>
    <x:row r="174" ht="40" customHeight="1">
      <x:c r="A174" s="24" t="str">
        <x:v>G12</x:v>
      </x:c>
      <x:c r="B174" s="24" t="str">
        <x:v>错位命运骰</x:v>
      </x:c>
      <x:c r="C174" s="24" t="str">
        <x:v>金色</x:v>
      </x:c>
      <x:c r="D174" s="24" t="n">
        <x:v>77</x:v>
      </x:c>
      <x:c r="E174" s="24" t="str">
        <x:v>gold_bonus_pp</x:v>
      </x:c>
      <x:c r="F174" s="24" t="str">
        <x:v>通用</x:v>
      </x:c>
      <x:c r="G174" s="24" t="n">
        <x:v>4</x:v>
      </x:c>
      <x:c r="H174" s="42" t="n">
        <x:v>4</x:v>
      </x:c>
      <x:c r="I174" s="24" t="str">
        <x:v>计数/模式</x:v>
      </x:c>
      <x:c r="J174" s="24" t="str">
        <x:v>机制确认/数值待试玩</x:v>
      </x:c>
      <x:c r="K174" s="24" t="str">
        <x:v>沿用</x:v>
      </x:c>
      <x:c r="L174" s="24" t="str">
        <x:v>更高紫金概率只在商店刷新生效；没有多商品正式商店时收益很低，建议74。</x:v>
      </x:c>
      <x:c r="M174" s="24" t="str">
        <x:v>策划建议，尚未写入Godot</x:v>
      </x:c>
      <x:c r="N174" s="24" t="str">
        <x:v>https://github.com/zhipijun1996/gunman-rush/blob/26e7f2a4459623f35613a857da8a75e89daa3e62/scripts/generation/plains_region_generator.gd</x:v>
      </x:c>
    </x:row>
    <x:row r="175" ht="40" customHeight="1">
      <x:c r="A175" s="24" t="str">
        <x:v>G12</x:v>
      </x:c>
      <x:c r="B175" s="24" t="str">
        <x:v>错位命运骰</x:v>
      </x:c>
      <x:c r="C175" s="24" t="str">
        <x:v>金色</x:v>
      </x:c>
      <x:c r="D175" s="24" t="n">
        <x:v>77</x:v>
      </x:c>
      <x:c r="E175" s="24" t="str">
        <x:v>blue_penalty_pp</x:v>
      </x:c>
      <x:c r="F175" s="24" t="str">
        <x:v>通用</x:v>
      </x:c>
      <x:c r="G175" s="24" t="n">
        <x:v>14</x:v>
      </x:c>
      <x:c r="H175" s="42" t="n">
        <x:v>14</x:v>
      </x:c>
      <x:c r="I175" s="24" t="str">
        <x:v>计数/模式</x:v>
      </x:c>
      <x:c r="J175" s="24" t="str">
        <x:v>机制确认/数值待试玩</x:v>
      </x:c>
      <x:c r="K175" s="24" t="str">
        <x:v>沿用</x:v>
      </x:c>
      <x:c r="L175" s="24" t="str">
        <x:v>更高紫金概率只在商店刷新生效；没有多商品正式商店时收益很低，建议74。</x:v>
      </x:c>
      <x:c r="M175" s="24" t="str">
        <x:v>策划建议，尚未写入Godot</x:v>
      </x:c>
      <x:c r="N175" s="24" t="str">
        <x:v>https://github.com/zhipijun1996/gunman-rush/blob/26e7f2a4459623f35613a857da8a75e89daa3e62/scripts/generation/plains_region_generator.gd</x:v>
      </x:c>
    </x:row>
    <x:row r="176" ht="40" customHeight="1">
      <x:c r="A176" s="24" t="str">
        <x:v>G07</x:v>
      </x:c>
      <x:c r="B176" s="24" t="str">
        <x:v>王钟残辉</x:v>
      </x:c>
      <x:c r="C176" s="24" t="str">
        <x:v>金色</x:v>
      </x:c>
      <x:c r="D176" s="24" t="n">
        <x:v>79</x:v>
      </x:c>
      <x:c r="E176" s="24" t="str">
        <x:v>idle_delay_s</x:v>
      </x:c>
      <x:c r="F176" s="24" t="str">
        <x:v>通用</x:v>
      </x:c>
      <x:c r="G176" s="24" t="n">
        <x:v>6</x:v>
      </x:c>
      <x:c r="H176" s="42" t="n">
        <x:v>6</x:v>
      </x:c>
      <x:c r="I176" s="24" t="str">
        <x:v>秒</x:v>
      </x:c>
      <x:c r="J176" s="24" t="str">
        <x:v>机制确认/数值待试玩</x:v>
      </x:c>
      <x:c r="K176" s="24" t="str">
        <x:v>沿用</x:v>
      </x:c>
      <x:c r="L176" s="24" t="str">
        <x:v>原5槽每图最多20共鸣极差；改2槽仍受脱战6秒与20点预算限制。</x:v>
      </x:c>
      <x:c r="M176" s="24" t="str">
        <x:v>策划建议，尚未写入Godot</x:v>
      </x:c>
      <x:c r="N176" s="24" t="str">
        <x:v>https://github.com/zhipijun1996/gunman-rush/blob/26e7f2a4459623f35613a857da8a75e89daa3e62/scripts/resources/state/combat_energy_state.gd</x:v>
      </x:c>
    </x:row>
    <x:row r="177" ht="40" customHeight="1">
      <x:c r="A177" s="24" t="str">
        <x:v>G07</x:v>
      </x:c>
      <x:c r="B177" s="24" t="str">
        <x:v>王钟残辉</x:v>
      </x:c>
      <x:c r="C177" s="24" t="str">
        <x:v>金色</x:v>
      </x:c>
      <x:c r="D177" s="24" t="n">
        <x:v>79</x:v>
      </x:c>
      <x:c r="E177" s="24" t="str">
        <x:v>resonance_per_s</x:v>
      </x:c>
      <x:c r="F177" s="24" t="str">
        <x:v>通用</x:v>
      </x:c>
      <x:c r="G177" s="24" t="n">
        <x:v>2</x:v>
      </x:c>
      <x:c r="H177" s="42" t="n">
        <x:v>2</x:v>
      </x:c>
      <x:c r="I177" s="24" t="str">
        <x:v>点/HP/金币</x:v>
      </x:c>
      <x:c r="J177" s="24" t="str">
        <x:v>机制确认/数值待试玩</x:v>
      </x:c>
      <x:c r="K177" s="24" t="str">
        <x:v>沿用</x:v>
      </x:c>
      <x:c r="L177" s="24" t="str">
        <x:v>原5槽每图最多20共鸣极差；改2槽仍受脱战6秒与20点预算限制。</x:v>
      </x:c>
      <x:c r="M177" s="24" t="str">
        <x:v>策划建议，尚未写入Godot</x:v>
      </x:c>
      <x:c r="N177" s="24" t="str">
        <x:v>https://github.com/zhipijun1996/gunman-rush/blob/26e7f2a4459623f35613a857da8a75e89daa3e62/scripts/resources/state/combat_energy_state.gd</x:v>
      </x:c>
    </x:row>
    <x:row r="178" ht="40" customHeight="1">
      <x:c r="A178" s="24" t="str">
        <x:v>G07</x:v>
      </x:c>
      <x:c r="B178" s="24" t="str">
        <x:v>王钟残辉</x:v>
      </x:c>
      <x:c r="C178" s="24" t="str">
        <x:v>金色</x:v>
      </x:c>
      <x:c r="D178" s="24" t="n">
        <x:v>79</x:v>
      </x:c>
      <x:c r="E178" s="24" t="str">
        <x:v>max_recovery_per_map</x:v>
      </x:c>
      <x:c r="F178" s="24" t="str">
        <x:v>通用</x:v>
      </x:c>
      <x:c r="G178" s="24" t="n">
        <x:v>20</x:v>
      </x:c>
      <x:c r="H178" s="42" t="n">
        <x:v>20</x:v>
      </x:c>
      <x:c r="I178" s="24" t="str">
        <x:v>计数/模式</x:v>
      </x:c>
      <x:c r="J178" s="24" t="str">
        <x:v>机制确认/数值待试玩</x:v>
      </x:c>
      <x:c r="K178" s="24" t="str">
        <x:v>沿用</x:v>
      </x:c>
      <x:c r="L178" s="24" t="str">
        <x:v>原5槽每图最多20共鸣极差；改2槽仍受脱战6秒与20点预算限制。</x:v>
      </x:c>
      <x:c r="M178" s="24" t="str">
        <x:v>策划建议，尚未写入Godot</x:v>
      </x:c>
      <x:c r="N178" s="24" t="str">
        <x:v>https://github.com/zhipijun1996/gunman-rush/blob/26e7f2a4459623f35613a857da8a75e89daa3e62/scripts/resources/state/combat_energy_state.gd</x:v>
      </x:c>
    </x:row>
    <x:row r="179" ht="40" customHeight="1">
      <x:c r="A179" s="24" t="str">
        <x:v>G08</x:v>
      </x:c>
      <x:c r="B179" s="24" t="str">
        <x:v>空白钟芯</x:v>
      </x:c>
      <x:c r="C179" s="24" t="str">
        <x:v>金色</x:v>
      </x:c>
      <x:c r="D179" s="24" t="n">
        <x:v>80</x:v>
      </x:c>
      <x:c r="E179" s="24" t="str">
        <x:v>marked_companion_first_hit_multiplier</x:v>
      </x:c>
      <x:c r="F179" s="24" t="str">
        <x:v>通用</x:v>
      </x:c>
      <x:c r="G179" s="24" t="n">
        <x:v>1.3</x:v>
      </x:c>
      <x:c r="H179" s="42" t="n">
        <x:v>1.3</x:v>
      </x:c>
      <x:c r="I179" s="24" t="str">
        <x:v>倍率</x:v>
      </x:c>
      <x:c r="J179" s="24" t="str">
        <x:v>机制确认/数值待试玩</x:v>
      </x:c>
      <x:c r="K179" s="24" t="str">
        <x:v>沿用</x:v>
      </x:c>
      <x:c r="L179" s="24" t="str">
        <x:v>只有同时具召唤物和标记才生效，严格前置，1槽适合组合零件。</x:v>
      </x:c>
      <x:c r="M179" s="24" t="str">
        <x:v>策划建议，尚未写入Godot</x:v>
      </x:c>
      <x:c r="N179" s="24" t="str">
        <x:v>https://github.com/zhipijun1996/gunman-rush/blob/26e7f2a4459623f35613a857da8a75e89daa3e62/scripts/combat/weapon_definition.gd</x:v>
      </x:c>
    </x:row>
    <x:row r="180" ht="40" customHeight="1">
      <x:c r="A180" s="24" t="str">
        <x:v>B17</x:v>
      </x:c>
      <x:c r="B180" s="24" t="str">
        <x:v>裂纹强击栓</x:v>
      </x:c>
      <x:c r="C180" s="24" t="str">
        <x:v>蓝色</x:v>
      </x:c>
      <x:c r="D180" s="24" t="n">
        <x:v>81</x:v>
      </x:c>
      <x:c r="E180" s="24" t="str">
        <x:v>primary_damage_multiplier</x:v>
      </x:c>
      <x:c r="F180" s="24" t="str">
        <x:v>通用</x:v>
      </x:c>
      <x:c r="G180" s="24" t="n">
        <x:v>1.22</x:v>
      </x:c>
      <x:c r="H180" s="42" t="n">
        <x:v>1.5</x:v>
      </x:c>
      <x:c r="I180" s="24" t="str">
        <x:v>倍率</x:v>
      </x:c>
      <x:c r="J180" s="24" t="str">
        <x:v>机制确认/数值待试玩</x:v>
      </x:c>
      <x:c r="K180" s="24" t="str">
        <x:v>变更/新增</x:v>
      </x:c>
      <x:c r="L180" s="24" t="str">
        <x:v>有累计3次HP损伤破碎的重大代价；+50%直伤应明显强于永久+32%满级枪管。</x:v>
      </x:c>
      <x:c r="M180" s="24" t="str">
        <x:v>策划建议，尚未写入Godot</x:v>
      </x:c>
      <x:c r="N180" s="24" t="str">
        <x:v>https://github.com/zhipijun1996/gunman-rush/blob/26e7f2a4459623f35613a857da8a75e89daa3e62/scripts/combat/weapon_definition.gd</x:v>
      </x:c>
    </x:row>
    <x:row r="181" ht="40" customHeight="1">
      <x:c r="A181" s="24" t="str">
        <x:v>B17</x:v>
      </x:c>
      <x:c r="B181" s="24" t="str">
        <x:v>裂纹强击栓</x:v>
      </x:c>
      <x:c r="C181" s="24" t="str">
        <x:v>蓝色</x:v>
      </x:c>
      <x:c r="D181" s="24" t="n">
        <x:v>81</x:v>
      </x:c>
      <x:c r="E181" s="24" t="str">
        <x:v>break_on_hits</x:v>
      </x:c>
      <x:c r="F181" s="24" t="str">
        <x:v>通用</x:v>
      </x:c>
      <x:c r="G181" s="24" t="n">
        <x:v>2</x:v>
      </x:c>
      <x:c r="H181" s="42" t="n">
        <x:v>3</x:v>
      </x:c>
      <x:c r="I181" s="24" t="str">
        <x:v>计数/模式</x:v>
      </x:c>
      <x:c r="J181" s="24" t="str">
        <x:v>机制确认/数值待试玩</x:v>
      </x:c>
      <x:c r="K181" s="24" t="str">
        <x:v>变更/新增</x:v>
      </x:c>
      <x:c r="L181" s="24" t="str">
        <x:v>有累计3次HP损伤破碎的重大代价；+50%直伤应明显强于永久+32%满级枪管。</x:v>
      </x:c>
      <x:c r="M181" s="24" t="str">
        <x:v>策划建议，尚未写入Godot</x:v>
      </x:c>
      <x:c r="N181" s="24" t="str">
        <x:v>https://github.com/zhipijun1996/gunman-rush/blob/26e7f2a4459623f35613a857da8a75e89daa3e62/scripts/combat/weapon_definition.gd</x:v>
      </x:c>
    </x:row>
    <x:row r="182" ht="40" customHeight="1">
      <x:c r="A182" s="24" t="str">
        <x:v>B17</x:v>
      </x:c>
      <x:c r="B182" s="24" t="str">
        <x:v>裂纹强击栓</x:v>
      </x:c>
      <x:c r="C182" s="24" t="str">
        <x:v>蓝色</x:v>
      </x:c>
      <x:c r="D182" s="24" t="n">
        <x:v>81</x:v>
      </x:c>
      <x:c r="E182" s="24" t="str">
        <x:v>repair_price</x:v>
      </x:c>
      <x:c r="F182" s="24" t="str">
        <x:v>通用</x:v>
      </x:c>
      <x:c r="G182" s="24" t="n">
        <x:v>18</x:v>
      </x:c>
      <x:c r="H182" s="42" t="n">
        <x:v>26</x:v>
      </x:c>
      <x:c r="I182" s="24" t="str">
        <x:v>点/HP/金币</x:v>
      </x:c>
      <x:c r="J182" s="24" t="str">
        <x:v>机制确认/数值待试玩</x:v>
      </x:c>
      <x:c r="K182" s="24" t="str">
        <x:v>变更/新增</x:v>
      </x:c>
      <x:c r="L182" s="24" t="str">
        <x:v>有累计3次HP损伤破碎的重大代价；+50%直伤应明显强于永久+32%满级枪管。</x:v>
      </x:c>
      <x:c r="M182" s="24" t="str">
        <x:v>策划建议，尚未写入Godot</x:v>
      </x:c>
      <x:c r="N182" s="24" t="str">
        <x:v>https://github.com/zhipijun1996/gunman-rush/blob/26e7f2a4459623f35613a857da8a75e89daa3e62/scripts/combat/weapon_definition.gd</x:v>
      </x:c>
    </x:row>
    <x:row r="183" ht="40" customHeight="1">
      <x:c r="A183" s="24" t="str">
        <x:v>P24</x:v>
      </x:c>
      <x:c r="B183" s="24" t="str">
        <x:v>回环飞轮</x:v>
      </x:c>
      <x:c r="C183" s="24" t="str">
        <x:v>紫色</x:v>
      </x:c>
      <x:c r="D183" s="24" t="n">
        <x:v>84</x:v>
      </x:c>
      <x:c r="E183" s="24" t="str">
        <x:v>combat_energy_cost</x:v>
      </x:c>
      <x:c r="F183" s="24" t="str">
        <x:v>通用</x:v>
      </x:c>
      <x:c r="G183" s="24" t="n">
        <x:v>35</x:v>
      </x:c>
      <x:c r="H183" s="42" t="n">
        <x:v>35</x:v>
      </x:c>
      <x:c r="I183" s="24" t="str">
        <x:v>点/HP/金币</x:v>
      </x:c>
      <x:c r="J183" s="24" t="str">
        <x:v>机制确认/数值待试玩</x:v>
      </x:c>
      <x:c r="K183" s="24" t="str">
        <x:v>沿用</x:v>
      </x:c>
      <x:c r="L183" s="24" t="str">
        <x:v>工具飞轮与回旋武器有重叠，但作为共鸣技能独立可用，降价。</x:v>
      </x:c>
      <x:c r="M183" s="24" t="str">
        <x:v>策划建议，尚未写入Godot</x:v>
      </x:c>
      <x:c r="N183" s="24" t="str">
        <x:v>https://github.com/zhipijun1996/gunman-rush/blob/26e7f2a4459623f35613a857da8a75e89daa3e62/scripts/resources/state/combat_energy_state.gd</x:v>
      </x:c>
    </x:row>
    <x:row r="184" ht="40" customHeight="1">
      <x:c r="A184" s="24" t="str">
        <x:v>P24</x:v>
      </x:c>
      <x:c r="B184" s="24" t="str">
        <x:v>回环飞轮</x:v>
      </x:c>
      <x:c r="C184" s="24" t="str">
        <x:v>紫色</x:v>
      </x:c>
      <x:c r="D184" s="24" t="n">
        <x:v>84</x:v>
      </x:c>
      <x:c r="E184" s="24" t="str">
        <x:v>total_damage_ratio_D</x:v>
      </x:c>
      <x:c r="F184" s="24" t="str">
        <x:v>通用</x:v>
      </x:c>
      <x:c r="G184" s="24" t="n">
        <x:v>1.4</x:v>
      </x:c>
      <x:c r="H184" s="42" t="n">
        <x:v>1.4</x:v>
      </x:c>
      <x:c r="I184" s="24" t="str">
        <x:v>倍率</x:v>
      </x:c>
      <x:c r="J184" s="24" t="str">
        <x:v>机制确认/数值待试玩</x:v>
      </x:c>
      <x:c r="K184" s="24" t="str">
        <x:v>沿用</x:v>
      </x:c>
      <x:c r="L184" s="24" t="str">
        <x:v>工具飞轮与回旋武器有重叠，但作为共鸣技能独立可用，降价。</x:v>
      </x:c>
      <x:c r="M184" s="24" t="str">
        <x:v>策划建议，尚未写入Godot</x:v>
      </x:c>
      <x:c r="N184" s="24" t="str">
        <x:v>https://github.com/zhipijun1996/gunman-rush/blob/26e7f2a4459623f35613a857da8a75e89daa3e62/scripts/resources/state/combat_energy_state.gd</x:v>
      </x:c>
    </x:row>
    <x:row r="185" ht="40" customHeight="1">
      <x:c r="A185" s="24" t="str">
        <x:v>P24</x:v>
      </x:c>
      <x:c r="B185" s="24" t="str">
        <x:v>回环飞轮</x:v>
      </x:c>
      <x:c r="C185" s="24" t="str">
        <x:v>紫色</x:v>
      </x:c>
      <x:c r="D185" s="24" t="n">
        <x:v>84</x:v>
      </x:c>
      <x:c r="E185" s="24" t="str">
        <x:v>max_target_hits</x:v>
      </x:c>
      <x:c r="F185" s="24" t="str">
        <x:v>通用</x:v>
      </x:c>
      <x:c r="G185" s="24" t="n">
        <x:v>2</x:v>
      </x:c>
      <x:c r="H185" s="42" t="n">
        <x:v>2</x:v>
      </x:c>
      <x:c r="I185" s="24" t="str">
        <x:v>计数/模式</x:v>
      </x:c>
      <x:c r="J185" s="24" t="str">
        <x:v>机制确认/数值待试玩</x:v>
      </x:c>
      <x:c r="K185" s="24" t="str">
        <x:v>沿用</x:v>
      </x:c>
      <x:c r="L185" s="24" t="str">
        <x:v>工具飞轮与回旋武器有重叠，但作为共鸣技能独立可用，降价。</x:v>
      </x:c>
      <x:c r="M185" s="24" t="str">
        <x:v>策划建议，尚未写入Godot</x:v>
      </x:c>
      <x:c r="N185" s="24" t="str">
        <x:v>https://github.com/zhipijun1996/gunman-rush/blob/26e7f2a4459623f35613a857da8a75e89daa3e62/scripts/resources/state/combat_energy_state.gd</x:v>
      </x:c>
    </x:row>
    <x:row r="186" ht="40" customHeight="1">
      <x:c r="A186" s="24" t="str">
        <x:v>P24</x:v>
      </x:c>
      <x:c r="B186" s="24" t="str">
        <x:v>回环飞轮</x:v>
      </x:c>
      <x:c r="C186" s="24" t="str">
        <x:v>紫色</x:v>
      </x:c>
      <x:c r="D186" s="24" t="n">
        <x:v>84</x:v>
      </x:c>
      <x:c r="E186" s="24" t="str">
        <x:v>range_px</x:v>
      </x:c>
      <x:c r="F186" s="24" t="str">
        <x:v>通用</x:v>
      </x:c>
      <x:c r="G186" s="24" t="n">
        <x:v>270</x:v>
      </x:c>
      <x:c r="H186" s="42" t="n">
        <x:v>270</x:v>
      </x:c>
      <x:c r="I186" s="24" t="str">
        <x:v>世界单位</x:v>
      </x:c>
      <x:c r="J186" s="24" t="str">
        <x:v>机制确认/数值待试玩</x:v>
      </x:c>
      <x:c r="K186" s="24" t="str">
        <x:v>沿用</x:v>
      </x:c>
      <x:c r="L186" s="24" t="str">
        <x:v>工具飞轮与回旋武器有重叠，但作为共鸣技能独立可用，降价。</x:v>
      </x:c>
      <x:c r="M186" s="24" t="str">
        <x:v>策划建议，尚未写入Godot</x:v>
      </x:c>
      <x:c r="N186" s="24" t="str">
        <x:v>https://github.com/zhipijun1996/gunman-rush/blob/26e7f2a4459623f35613a857da8a75e89daa3e62/scripts/resources/state/combat_energy_state.gd</x:v>
      </x:c>
    </x:row>
    <x:row r="187" ht="40" customHeight="1">
      <x:c r="A187" s="24" t="str">
        <x:v>P25</x:v>
      </x:c>
      <x:c r="B187" s="24" t="str">
        <x:v>落地针雷</x:v>
      </x:c>
      <x:c r="C187" s="24" t="str">
        <x:v>紫色</x:v>
      </x:c>
      <x:c r="D187" s="24" t="n">
        <x:v>85</x:v>
      </x:c>
      <x:c r="E187" s="24" t="str">
        <x:v>combat_energy_cost</x:v>
      </x:c>
      <x:c r="F187" s="24" t="str">
        <x:v>通用</x:v>
      </x:c>
      <x:c r="G187" s="24" t="n">
        <x:v>35</x:v>
      </x:c>
      <x:c r="H187" s="42" t="n">
        <x:v>35</x:v>
      </x:c>
      <x:c r="I187" s="24" t="str">
        <x:v>点/HP/金币</x:v>
      </x:c>
      <x:c r="J187" s="24" t="str">
        <x:v>机制确认/数值待试玩</x:v>
      </x:c>
      <x:c r="K187" s="24" t="str">
        <x:v>沿用</x:v>
      </x:c>
      <x:c r="L187" s="24" t="str">
        <x:v>地面陷阱+0.9D，35共鸣成本高且布置要求，48金合理。</x:v>
      </x:c>
      <x:c r="M187" s="24" t="str">
        <x:v>策划建议，尚未写入Godot</x:v>
      </x:c>
      <x:c r="N187" s="24" t="str">
        <x:v>https://github.com/zhipijun1996/gunman-rush/blob/26e7f2a4459623f35613a857da8a75e89daa3e62/scripts/resources/state/combat_energy_state.gd</x:v>
      </x:c>
    </x:row>
    <x:row r="188" ht="40" customHeight="1">
      <x:c r="A188" s="24" t="str">
        <x:v>P25</x:v>
      </x:c>
      <x:c r="B188" s="24" t="str">
        <x:v>落地针雷</x:v>
      </x:c>
      <x:c r="C188" s="24" t="str">
        <x:v>紫色</x:v>
      </x:c>
      <x:c r="D188" s="24" t="n">
        <x:v>85</x:v>
      </x:c>
      <x:c r="E188" s="24" t="str">
        <x:v>trap_lifetime_s</x:v>
      </x:c>
      <x:c r="F188" s="24" t="str">
        <x:v>通用</x:v>
      </x:c>
      <x:c r="G188" s="24" t="n">
        <x:v>14</x:v>
      </x:c>
      <x:c r="H188" s="42" t="n">
        <x:v>14</x:v>
      </x:c>
      <x:c r="I188" s="24" t="str">
        <x:v>秒</x:v>
      </x:c>
      <x:c r="J188" s="24" t="str">
        <x:v>机制确认/数值待试玩</x:v>
      </x:c>
      <x:c r="K188" s="24" t="str">
        <x:v>沿用</x:v>
      </x:c>
      <x:c r="L188" s="24" t="str">
        <x:v>地面陷阱+0.9D，35共鸣成本高且布置要求，48金合理。</x:v>
      </x:c>
      <x:c r="M188" s="24" t="str">
        <x:v>策划建议，尚未写入Godot</x:v>
      </x:c>
      <x:c r="N188" s="24" t="str">
        <x:v>https://github.com/zhipijun1996/gunman-rush/blob/26e7f2a4459623f35613a857da8a75e89daa3e62/scripts/resources/state/combat_energy_state.gd</x:v>
      </x:c>
    </x:row>
    <x:row r="189" ht="40" customHeight="1">
      <x:c r="A189" s="24" t="str">
        <x:v>P25</x:v>
      </x:c>
      <x:c r="B189" s="24" t="str">
        <x:v>落地针雷</x:v>
      </x:c>
      <x:c r="C189" s="24" t="str">
        <x:v>紫色</x:v>
      </x:c>
      <x:c r="D189" s="24" t="n">
        <x:v>85</x:v>
      </x:c>
      <x:c r="E189" s="24" t="str">
        <x:v>trap_damage_ratio_D</x:v>
      </x:c>
      <x:c r="F189" s="24" t="str">
        <x:v>通用</x:v>
      </x:c>
      <x:c r="G189" s="24" t="n">
        <x:v>0.9</x:v>
      </x:c>
      <x:c r="H189" s="42" t="n">
        <x:v>0.9</x:v>
      </x:c>
      <x:c r="I189" s="24" t="str">
        <x:v>倍率</x:v>
      </x:c>
      <x:c r="J189" s="24" t="str">
        <x:v>机制确认/数值待试玩</x:v>
      </x:c>
      <x:c r="K189" s="24" t="str">
        <x:v>沿用</x:v>
      </x:c>
      <x:c r="L189" s="24" t="str">
        <x:v>地面陷阱+0.9D，35共鸣成本高且布置要求，48金合理。</x:v>
      </x:c>
      <x:c r="M189" s="24" t="str">
        <x:v>策划建议，尚未写入Godot</x:v>
      </x:c>
      <x:c r="N189" s="24" t="str">
        <x:v>https://github.com/zhipijun1996/gunman-rush/blob/26e7f2a4459623f35613a857da8a75e89daa3e62/scripts/resources/state/combat_energy_state.gd</x:v>
      </x:c>
    </x:row>
    <x:row r="190" ht="40" customHeight="1">
      <x:c r="A190" s="24" t="str">
        <x:v>P25</x:v>
      </x:c>
      <x:c r="B190" s="24" t="str">
        <x:v>落地针雷</x:v>
      </x:c>
      <x:c r="C190" s="24" t="str">
        <x:v>紫色</x:v>
      </x:c>
      <x:c r="D190" s="24" t="n">
        <x:v>85</x:v>
      </x:c>
      <x:c r="E190" s="24" t="str">
        <x:v>radius_px</x:v>
      </x:c>
      <x:c r="F190" s="24" t="str">
        <x:v>通用</x:v>
      </x:c>
      <x:c r="G190" s="24" t="n">
        <x:v>80</x:v>
      </x:c>
      <x:c r="H190" s="42" t="n">
        <x:v>80</x:v>
      </x:c>
      <x:c r="I190" s="24" t="str">
        <x:v>世界单位</x:v>
      </x:c>
      <x:c r="J190" s="24" t="str">
        <x:v>机制确认/数值待试玩</x:v>
      </x:c>
      <x:c r="K190" s="24" t="str">
        <x:v>沿用</x:v>
      </x:c>
      <x:c r="L190" s="24" t="str">
        <x:v>地面陷阱+0.9D，35共鸣成本高且布置要求，48金合理。</x:v>
      </x:c>
      <x:c r="M190" s="24" t="str">
        <x:v>策划建议，尚未写入Godot</x:v>
      </x:c>
      <x:c r="N190" s="24" t="str">
        <x:v>https://github.com/zhipijun1996/gunman-rush/blob/26e7f2a4459623f35613a857da8a75e89daa3e62/scripts/resources/state/combat_energy_state.gd</x:v>
      </x:c>
    </x:row>
    <x:row r="191" ht="40" customHeight="1">
      <x:c r="A191" s="24" t="str">
        <x:v>P25</x:v>
      </x:c>
      <x:c r="B191" s="24" t="str">
        <x:v>落地针雷</x:v>
      </x:c>
      <x:c r="C191" s="24" t="str">
        <x:v>紫色</x:v>
      </x:c>
      <x:c r="D191" s="24" t="n">
        <x:v>85</x:v>
      </x:c>
      <x:c r="E191" s="24" t="str">
        <x:v>max_active_traps</x:v>
      </x:c>
      <x:c r="F191" s="24" t="str">
        <x:v>通用</x:v>
      </x:c>
      <x:c r="G191" s="24" t="n">
        <x:v>2</x:v>
      </x:c>
      <x:c r="H191" s="42" t="n">
        <x:v>2</x:v>
      </x:c>
      <x:c r="I191" s="24" t="str">
        <x:v>计数/模式</x:v>
      </x:c>
      <x:c r="J191" s="24" t="str">
        <x:v>机制确认/数值待试玩</x:v>
      </x:c>
      <x:c r="K191" s="24" t="str">
        <x:v>沿用</x:v>
      </x:c>
      <x:c r="L191" s="24" t="str">
        <x:v>地面陷阱+0.9D，35共鸣成本高且布置要求，48金合理。</x:v>
      </x:c>
      <x:c r="M191" s="24" t="str">
        <x:v>策划建议，尚未写入Godot</x:v>
      </x:c>
      <x:c r="N191" s="24" t="str">
        <x:v>https://github.com/zhipijun1996/gunman-rush/blob/26e7f2a4459623f35613a857da8a75e89daa3e62/scripts/resources/state/combat_energy_state.gd</x:v>
      </x:c>
    </x:row>
    <x:row r="192" ht="40" customHeight="1">
      <x:c r="A192" s="24" t="str">
        <x:v>G14</x:v>
      </x:c>
      <x:c r="B192" s="24" t="str">
        <x:v>飞雷钟樽</x:v>
      </x:c>
      <x:c r="C192" s="24" t="str">
        <x:v>金色</x:v>
      </x:c>
      <x:c r="D192" s="24" t="n">
        <x:v>86</x:v>
      </x:c>
      <x:c r="E192" s="24" t="str">
        <x:v>combat_energy_cost</x:v>
      </x:c>
      <x:c r="F192" s="24" t="str">
        <x:v>通用</x:v>
      </x:c>
      <x:c r="G192" s="24" t="n">
        <x:v>50</x:v>
      </x:c>
      <x:c r="H192" s="42" t="n">
        <x:v>45</x:v>
      </x:c>
      <x:c r="I192" s="24" t="str">
        <x:v>点/HP/金币</x:v>
      </x:c>
      <x:c r="J192" s="24" t="str">
        <x:v>机制确认/数值待试玩</x:v>
      </x:c>
      <x:c r="K192" s="24" t="str">
        <x:v>变更/新增</x:v>
      </x:c>
      <x:c r="L192" s="24" t="str">
        <x:v>取消固定模式，仅投掷连锁电雷；45共鸣1.30D+两次0.35D，既有炸弹武器不需双态。</x:v>
      </x:c>
      <x:c r="M192" s="24" t="str">
        <x:v>策划建议，尚未写入Godot</x:v>
      </x:c>
      <x:c r="N192" s="24" t="str">
        <x:v>https://github.com/zhipijun1996/gunman-rush/blob/26e7f2a4459623f35613a857da8a75e89daa3e62/scripts/resources/state/combat_energy_state.gd</x:v>
      </x:c>
    </x:row>
    <x:row r="193" ht="40" customHeight="1">
      <x:c r="A193" s="24" t="str">
        <x:v>G14</x:v>
      </x:c>
      <x:c r="B193" s="24" t="str">
        <x:v>飞雷钟樽</x:v>
      </x:c>
      <x:c r="C193" s="24" t="str">
        <x:v>金色</x:v>
      </x:c>
      <x:c r="D193" s="24" t="n">
        <x:v>86</x:v>
      </x:c>
      <x:c r="E193" s="24" t="str">
        <x:v>throw_damage_ratio_D</x:v>
      </x:c>
      <x:c r="F193" s="24" t="str">
        <x:v>通用</x:v>
      </x:c>
      <x:c r="G193" s="24" t="str"/>
      <x:c r="H193" s="42" t="n">
        <x:v>1.3</x:v>
      </x:c>
      <x:c r="I193" s="24" t="str">
        <x:v>倍率</x:v>
      </x:c>
      <x:c r="J193" s="24" t="str">
        <x:v>机制确认/数值待试玩</x:v>
      </x:c>
      <x:c r="K193" s="24" t="str">
        <x:v>变更/新增</x:v>
      </x:c>
      <x:c r="L193" s="24" t="str">
        <x:v>取消固定模式，仅投掷连锁电雷；45共鸣1.30D+两次0.35D，既有炸弹武器不需双态。</x:v>
      </x:c>
      <x:c r="M193" s="24" t="str">
        <x:v>策划建议，尚未写入Godot</x:v>
      </x:c>
      <x:c r="N193" s="24" t="str">
        <x:v>https://github.com/zhipijun1996/gunman-rush/blob/26e7f2a4459623f35613a857da8a75e89daa3e62/scripts/resources/state/combat_energy_state.gd</x:v>
      </x:c>
    </x:row>
    <x:row r="194" ht="40" customHeight="1">
      <x:c r="A194" s="24" t="str">
        <x:v>G14</x:v>
      </x:c>
      <x:c r="B194" s="24" t="str">
        <x:v>飞雷钟樽</x:v>
      </x:c>
      <x:c r="C194" s="24" t="str">
        <x:v>金色</x:v>
      </x:c>
      <x:c r="D194" s="24" t="n">
        <x:v>86</x:v>
      </x:c>
      <x:c r="E194" s="24" t="str">
        <x:v>chain_targets</x:v>
      </x:c>
      <x:c r="F194" s="24" t="str">
        <x:v>通用</x:v>
      </x:c>
      <x:c r="G194" s="24" t="str"/>
      <x:c r="H194" s="42" t="n">
        <x:v>2</x:v>
      </x:c>
      <x:c r="I194" s="24" t="str">
        <x:v>计数/模式</x:v>
      </x:c>
      <x:c r="J194" s="24" t="str">
        <x:v>机制确认/数值待试玩</x:v>
      </x:c>
      <x:c r="K194" s="24" t="str">
        <x:v>变更/新增</x:v>
      </x:c>
      <x:c r="L194" s="24" t="str">
        <x:v>取消固定模式，仅投掷连锁电雷；45共鸣1.30D+两次0.35D，既有炸弹武器不需双态。</x:v>
      </x:c>
      <x:c r="M194" s="24" t="str">
        <x:v>策划建议，尚未写入Godot</x:v>
      </x:c>
      <x:c r="N194" s="24" t="str">
        <x:v>https://github.com/zhipijun1996/gunman-rush/blob/26e7f2a4459623f35613a857da8a75e89daa3e62/scripts/resources/state/combat_energy_state.gd</x:v>
      </x:c>
    </x:row>
    <x:row r="195" ht="40" customHeight="1">
      <x:c r="A195" s="24" t="str">
        <x:v>G14</x:v>
      </x:c>
      <x:c r="B195" s="24" t="str">
        <x:v>飞雷钟樽</x:v>
      </x:c>
      <x:c r="C195" s="24" t="str">
        <x:v>金色</x:v>
      </x:c>
      <x:c r="D195" s="24" t="n">
        <x:v>86</x:v>
      </x:c>
      <x:c r="E195" s="24" t="str">
        <x:v>chain_damage_ratio_D</x:v>
      </x:c>
      <x:c r="F195" s="24" t="str">
        <x:v>通用</x:v>
      </x:c>
      <x:c r="G195" s="24" t="str"/>
      <x:c r="H195" s="42" t="n">
        <x:v>0.35</x:v>
      </x:c>
      <x:c r="I195" s="24" t="str">
        <x:v>倍率</x:v>
      </x:c>
      <x:c r="J195" s="24" t="str">
        <x:v>机制确认/数值待试玩</x:v>
      </x:c>
      <x:c r="K195" s="24" t="str">
        <x:v>变更/新增</x:v>
      </x:c>
      <x:c r="L195" s="24" t="str">
        <x:v>取消固定模式，仅投掷连锁电雷；45共鸣1.30D+两次0.35D，既有炸弹武器不需双态。</x:v>
      </x:c>
      <x:c r="M195" s="24" t="str">
        <x:v>策划建议，尚未写入Godot</x:v>
      </x:c>
      <x:c r="N195" s="24" t="str">
        <x:v>https://github.com/zhipijun1996/gunman-rush/blob/26e7f2a4459623f35613a857da8a75e89daa3e62/scripts/resources/state/combat_energy_state.gd</x:v>
      </x:c>
    </x:row>
    <x:row r="196" ht="40" customHeight="1">
      <x:c r="A196" s="24" t="str">
        <x:v>G14</x:v>
      </x:c>
      <x:c r="B196" s="24" t="str">
        <x:v>飞雷钟樽</x:v>
      </x:c>
      <x:c r="C196" s="24" t="str">
        <x:v>金色</x:v>
      </x:c>
      <x:c r="D196" s="24" t="n">
        <x:v>86</x:v>
      </x:c>
      <x:c r="E196" s="24" t="str">
        <x:v>cooldown_s</x:v>
      </x:c>
      <x:c r="F196" s="24" t="str">
        <x:v>通用</x:v>
      </x:c>
      <x:c r="G196" s="24" t="str"/>
      <x:c r="H196" s="42" t="n">
        <x:v>14</x:v>
      </x:c>
      <x:c r="I196" s="24" t="str">
        <x:v>秒</x:v>
      </x:c>
      <x:c r="J196" s="24" t="str">
        <x:v>机制确认/数值待试玩</x:v>
      </x:c>
      <x:c r="K196" s="24" t="str">
        <x:v>变更/新增</x:v>
      </x:c>
      <x:c r="L196" s="24" t="str">
        <x:v>取消固定模式，仅投掷连锁电雷；45共鸣1.30D+两次0.35D，既有炸弹武器不需双态。</x:v>
      </x:c>
      <x:c r="M196" s="24" t="str">
        <x:v>策划建议，尚未写入Godot</x:v>
      </x:c>
      <x:c r="N196" s="24" t="str">
        <x:v>https://github.com/zhipijun1996/gunman-rush/blob/26e7f2a4459623f35613a857da8a75e89daa3e62/scripts/resources/state/combat_energy_state.gd</x:v>
      </x:c>
    </x:row>
    <x:row r="197" ht="40" customHeight="1">
      <x:c r="A197" s="24" t="str">
        <x:v>G14</x:v>
      </x:c>
      <x:c r="B197" s="24" t="str">
        <x:v>飞雷钟樽</x:v>
      </x:c>
      <x:c r="C197" s="24" t="str">
        <x:v>金色</x:v>
      </x:c>
      <x:c r="D197" s="24" t="n">
        <x:v>86</x:v>
      </x:c>
      <x:c r="E197" s="24" t="str">
        <x:v>mode</x:v>
      </x:c>
      <x:c r="F197" s="24" t="str">
        <x:v>通用</x:v>
      </x:c>
      <x:c r="G197" s="24" t="str"/>
      <x:c r="H197" s="42" t="str">
        <x:v>THROW_ONLY</x:v>
      </x:c>
      <x:c r="I197" s="24" t="str">
        <x:v>计数/模式</x:v>
      </x:c>
      <x:c r="J197" s="24" t="str">
        <x:v>机制确认/数值待试玩</x:v>
      </x:c>
      <x:c r="K197" s="24" t="str">
        <x:v>变更/新增</x:v>
      </x:c>
      <x:c r="L197" s="24" t="str">
        <x:v>取消固定模式，仅投掷连锁电雷；45共鸣1.30D+两次0.35D，既有炸弹武器不需双态。</x:v>
      </x:c>
      <x:c r="M197" s="24" t="str">
        <x:v>策划建议，尚未写入Godot</x:v>
      </x:c>
      <x:c r="N197" s="24" t="str">
        <x:v>https://github.com/zhipijun1996/gunman-rush/blob/26e7f2a4459623f35613a857da8a75e89daa3e62/scripts/resources/state/combat_energy_state.gd</x:v>
      </x:c>
    </x:row>
    <x:row r="198" ht="40" customHeight="1">
      <x:c r="A198" s="24" t="str">
        <x:v>G15</x:v>
      </x:c>
      <x:c r="B198" s="24" t="str">
        <x:v>双响投架</x:v>
      </x:c>
      <x:c r="C198" s="24" t="str">
        <x:v>金色</x:v>
      </x:c>
      <x:c r="D198" s="24" t="n">
        <x:v>87</x:v>
      </x:c>
      <x:c r="E198" s="24" t="str">
        <x:v>projectile_count_multiplier</x:v>
      </x:c>
      <x:c r="F198" s="24" t="str">
        <x:v>通用</x:v>
      </x:c>
      <x:c r="G198" s="24" t="n">
        <x:v>2</x:v>
      </x:c>
      <x:c r="H198" s="42" t="n">
        <x:v>2</x:v>
      </x:c>
      <x:c r="I198" s="24" t="str">
        <x:v>倍率</x:v>
      </x:c>
      <x:c r="J198" s="24" t="str">
        <x:v>机制确认/数值待试玩</x:v>
      </x:c>
      <x:c r="K198" s="24" t="str">
        <x:v>沿用</x:v>
      </x:c>
      <x:c r="L198" s="24" t="str">
        <x:v>投射技能双发合计×1.15而不是×2总伤；2槽组合型特殊机制，80金币。</x:v>
      </x:c>
      <x:c r="M198" s="24" t="str">
        <x:v>策划建议，尚未写入Godot</x:v>
      </x:c>
      <x:c r="N198" s="24" t="str">
        <x:v>https://github.com/zhipijun1996/gunman-rush/blob/26e7f2a4459623f35613a857da8a75e89daa3e62/scripts/combat/weapon_definition.gd</x:v>
      </x:c>
    </x:row>
    <x:row r="199" ht="40" customHeight="1">
      <x:c r="A199" s="24" t="str">
        <x:v>G15</x:v>
      </x:c>
      <x:c r="B199" s="24" t="str">
        <x:v>双响投架</x:v>
      </x:c>
      <x:c r="C199" s="24" t="str">
        <x:v>金色</x:v>
      </x:c>
      <x:c r="D199" s="24" t="n">
        <x:v>87</x:v>
      </x:c>
      <x:c r="E199" s="24" t="str">
        <x:v>total_damage_budget_multiplier</x:v>
      </x:c>
      <x:c r="F199" s="24" t="str">
        <x:v>通用</x:v>
      </x:c>
      <x:c r="G199" s="24" t="n">
        <x:v>1.15</x:v>
      </x:c>
      <x:c r="H199" s="42" t="n">
        <x:v>1.15</x:v>
      </x:c>
      <x:c r="I199" s="24" t="str">
        <x:v>倍率</x:v>
      </x:c>
      <x:c r="J199" s="24" t="str">
        <x:v>机制确认/数值待试玩</x:v>
      </x:c>
      <x:c r="K199" s="24" t="str">
        <x:v>沿用</x:v>
      </x:c>
      <x:c r="L199" s="24" t="str">
        <x:v>投射技能双发合计×1.15而不是×2总伤；2槽组合型特殊机制，80金币。</x:v>
      </x:c>
      <x:c r="M199" s="24" t="str">
        <x:v>策划建议，尚未写入Godot</x:v>
      </x:c>
      <x:c r="N199" s="24" t="str">
        <x:v>https://github.com/zhipijun1996/gunman-rush/blob/26e7f2a4459623f35613a857da8a75e89daa3e62/scripts/combat/weapon_definition.gd</x:v>
      </x:c>
    </x:row>
    <x:row r="200" ht="40" customHeight="1">
      <x:c r="A200" s="24" t="str">
        <x:v>G16</x:v>
      </x:c>
      <x:c r="B200" s="24" t="str">
        <x:v>钟匠裁决</x:v>
      </x:c>
      <x:c r="C200" s="24" t="str">
        <x:v>金色</x:v>
      </x:c>
      <x:c r="D200" s="24" t="n">
        <x:v>88</x:v>
      </x:c>
      <x:c r="E200" s="24" t="str">
        <x:v>combat_energy_cost</x:v>
      </x:c>
      <x:c r="F200" s="24" t="str">
        <x:v>通用</x:v>
      </x:c>
      <x:c r="G200" s="24" t="n">
        <x:v>65</x:v>
      </x:c>
      <x:c r="H200" s="42" t="n">
        <x:v>65</x:v>
      </x:c>
      <x:c r="I200" s="24" t="str">
        <x:v>点/HP/金币</x:v>
      </x:c>
      <x:c r="J200" s="24" t="str">
        <x:v>机制确认/数值待试玩</x:v>
      </x:c>
      <x:c r="K200" s="24" t="str">
        <x:v>沿用</x:v>
      </x:c>
      <x:c r="L200" s="24" t="str">
        <x:v>65共鸣消耗曾只1.8D输出太低；建议3段×0.9D=2.7D、4槽更合理。</x:v>
      </x:c>
      <x:c r="M200" s="24" t="str">
        <x:v>策划建议，尚未写入Godot</x:v>
      </x:c>
      <x:c r="N200" s="24" t="str">
        <x:v>https://github.com/zhipijun1996/gunman-rush/blob/26e7f2a4459623f35613a857da8a75e89daa3e62/scripts/resources/state/combat_energy_state.gd</x:v>
      </x:c>
    </x:row>
    <x:row r="201" ht="40" customHeight="1">
      <x:c r="A201" s="24" t="str">
        <x:v>G16</x:v>
      </x:c>
      <x:c r="B201" s="24" t="str">
        <x:v>钟匠裁决</x:v>
      </x:c>
      <x:c r="C201" s="24" t="str">
        <x:v>金色</x:v>
      </x:c>
      <x:c r="D201" s="24" t="n">
        <x:v>88</x:v>
      </x:c>
      <x:c r="E201" s="24" t="str">
        <x:v>pulse_count</x:v>
      </x:c>
      <x:c r="F201" s="24" t="str">
        <x:v>通用</x:v>
      </x:c>
      <x:c r="G201" s="24" t="n">
        <x:v>3</x:v>
      </x:c>
      <x:c r="H201" s="42" t="n">
        <x:v>3</x:v>
      </x:c>
      <x:c r="I201" s="24" t="str">
        <x:v>计数/模式</x:v>
      </x:c>
      <x:c r="J201" s="24" t="str">
        <x:v>机制确认/数值待试玩</x:v>
      </x:c>
      <x:c r="K201" s="24" t="str">
        <x:v>沿用</x:v>
      </x:c>
      <x:c r="L201" s="24" t="str">
        <x:v>65共鸣消耗曾只1.8D输出太低；建议3段×0.9D=2.7D、4槽更合理。</x:v>
      </x:c>
      <x:c r="M201" s="24" t="str">
        <x:v>策划建议，尚未写入Godot</x:v>
      </x:c>
      <x:c r="N201" s="24" t="str">
        <x:v>https://github.com/zhipijun1996/gunman-rush/blob/26e7f2a4459623f35613a857da8a75e89daa3e62/scripts/resources/state/combat_energy_state.gd</x:v>
      </x:c>
    </x:row>
    <x:row r="202" ht="40" customHeight="1">
      <x:c r="A202" s="24" t="str">
        <x:v>G16</x:v>
      </x:c>
      <x:c r="B202" s="24" t="str">
        <x:v>钟匠裁决</x:v>
      </x:c>
      <x:c r="C202" s="24" t="str">
        <x:v>金色</x:v>
      </x:c>
      <x:c r="D202" s="24" t="n">
        <x:v>88</x:v>
      </x:c>
      <x:c r="E202" s="24" t="str">
        <x:v>damage_ratio_D_each</x:v>
      </x:c>
      <x:c r="F202" s="24" t="str">
        <x:v>通用</x:v>
      </x:c>
      <x:c r="G202" s="24" t="n">
        <x:v>0.6</x:v>
      </x:c>
      <x:c r="H202" s="42" t="n">
        <x:v>0.9</x:v>
      </x:c>
      <x:c r="I202" s="24" t="str">
        <x:v>倍率</x:v>
      </x:c>
      <x:c r="J202" s="24" t="str">
        <x:v>机制确认/数值待试玩</x:v>
      </x:c>
      <x:c r="K202" s="24" t="str">
        <x:v>变更/新增</x:v>
      </x:c>
      <x:c r="L202" s="24" t="str">
        <x:v>65共鸣消耗曾只1.8D输出太低；建议3段×0.9D=2.7D、4槽更合理。</x:v>
      </x:c>
      <x:c r="M202" s="24" t="str">
        <x:v>策划建议，尚未写入Godot</x:v>
      </x:c>
      <x:c r="N202" s="24" t="str">
        <x:v>https://github.com/zhipijun1996/gunman-rush/blob/26e7f2a4459623f35613a857da8a75e89daa3e62/scripts/resources/state/combat_energy_state.gd</x:v>
      </x:c>
    </x:row>
    <x:row r="203" ht="40" customHeight="1">
      <x:c r="A203" s="24" t="str">
        <x:v>G16</x:v>
      </x:c>
      <x:c r="B203" s="24" t="str">
        <x:v>钟匠裁决</x:v>
      </x:c>
      <x:c r="C203" s="24" t="str">
        <x:v>金色</x:v>
      </x:c>
      <x:c r="D203" s="24" t="n">
        <x:v>88</x:v>
      </x:c>
      <x:c r="E203" s="24" t="str">
        <x:v>range_px</x:v>
      </x:c>
      <x:c r="F203" s="24" t="str">
        <x:v>通用</x:v>
      </x:c>
      <x:c r="G203" s="24" t="n">
        <x:v>280</x:v>
      </x:c>
      <x:c r="H203" s="42" t="n">
        <x:v>280</x:v>
      </x:c>
      <x:c r="I203" s="24" t="str">
        <x:v>世界单位</x:v>
      </x:c>
      <x:c r="J203" s="24" t="str">
        <x:v>机制确认/数值待试玩</x:v>
      </x:c>
      <x:c r="K203" s="24" t="str">
        <x:v>沿用</x:v>
      </x:c>
      <x:c r="L203" s="24" t="str">
        <x:v>65共鸣消耗曾只1.8D输出太低；建议3段×0.9D=2.7D、4槽更合理。</x:v>
      </x:c>
      <x:c r="M203" s="24" t="str">
        <x:v>策划建议，尚未写入Godot</x:v>
      </x:c>
      <x:c r="N203" s="24" t="str">
        <x:v>https://github.com/zhipijun1996/gunman-rush/blob/26e7f2a4459623f35613a857da8a75e89daa3e62/scripts/resources/state/combat_energy_state.gd</x:v>
      </x:c>
    </x:row>
    <x:row r="204" ht="40" customHeight="1">
      <x:c r="A204" s="24" t="str">
        <x:v>G16</x:v>
      </x:c>
      <x:c r="B204" s="24" t="str">
        <x:v>钟匠裁决</x:v>
      </x:c>
      <x:c r="C204" s="24" t="str">
        <x:v>金色</x:v>
      </x:c>
      <x:c r="D204" s="24" t="n">
        <x:v>88</x:v>
      </x:c>
      <x:c r="E204" s="24" t="str">
        <x:v>cooldown_s</x:v>
      </x:c>
      <x:c r="F204" s="24" t="str">
        <x:v>通用</x:v>
      </x:c>
      <x:c r="G204" s="24" t="str"/>
      <x:c r="H204" s="42" t="n">
        <x:v>18</x:v>
      </x:c>
      <x:c r="I204" s="24" t="str">
        <x:v>秒</x:v>
      </x:c>
      <x:c r="J204" s="24" t="str">
        <x:v>机制确认/数值待试玩</x:v>
      </x:c>
      <x:c r="K204" s="24" t="str">
        <x:v>变更/新增</x:v>
      </x:c>
      <x:c r="L204" s="24" t="str">
        <x:v>65共鸣消耗曾只1.8D输出太低；建议3段×0.9D=2.7D、4槽更合理。</x:v>
      </x:c>
      <x:c r="M204" s="24" t="str">
        <x:v>策划建议，尚未写入Godot</x:v>
      </x:c>
      <x:c r="N204" s="24" t="str">
        <x:v>https://github.com/zhipijun1996/gunman-rush/blob/26e7f2a4459623f35613a857da8a75e89daa3e62/scripts/resources/state/combat_energy_state.gd</x:v>
      </x:c>
    </x:row>
    <x:row r="205" ht="40" customHeight="1">
      <x:c r="A205" s="24" t="str">
        <x:v>G19</x:v>
      </x:c>
      <x:c r="B205" s="24" t="str">
        <x:v>灰铃侍钟机</x:v>
      </x:c>
      <x:c r="C205" s="24" t="str">
        <x:v>金色</x:v>
      </x:c>
      <x:c r="D205" s="24" t="n">
        <x:v>91</x:v>
      </x:c>
      <x:c r="E205" s="24" t="str">
        <x:v>base_damage_ratio_D</x:v>
      </x:c>
      <x:c r="F205" s="24" t="str">
        <x:v>通用</x:v>
      </x:c>
      <x:c r="G205" s="24" t="n">
        <x:v>0.3</x:v>
      </x:c>
      <x:c r="H205" s="42" t="n">
        <x:v>0.3</x:v>
      </x:c>
      <x:c r="I205" s="24" t="str">
        <x:v>倍率</x:v>
      </x:c>
      <x:c r="J205" s="24" t="str">
        <x:v>机制确认/数值待试玩</x:v>
      </x:c>
      <x:c r="K205" s="24" t="str">
        <x:v>沿用</x:v>
      </x:c>
      <x:c r="L205" s="24" t="str">
        <x:v>进化前0.30D/2.5秒极弱但持续免费输出，培养需精英数量，建议89金币。</x:v>
      </x:c>
      <x:c r="M205" s="24" t="str">
        <x:v>策划建议，尚未写入Godot</x:v>
      </x:c>
      <x:c r="N205" s="24" t="str">
        <x:v>https://github.com/zhipijun1996/gunman-rush/blob/26e7f2a4459623f35613a857da8a75e89daa3e62/scripts/combat/weapon_definition.gd</x:v>
      </x:c>
    </x:row>
    <x:row r="206" ht="40" customHeight="1">
      <x:c r="A206" s="24" t="str">
        <x:v>G19</x:v>
      </x:c>
      <x:c r="B206" s="24" t="str">
        <x:v>灰铃侍钟机</x:v>
      </x:c>
      <x:c r="C206" s="24" t="str">
        <x:v>金色</x:v>
      </x:c>
      <x:c r="D206" s="24" t="n">
        <x:v>91</x:v>
      </x:c>
      <x:c r="E206" s="24" t="str">
        <x:v>attack_interval_s</x:v>
      </x:c>
      <x:c r="F206" s="24" t="str">
        <x:v>通用</x:v>
      </x:c>
      <x:c r="G206" s="24" t="n">
        <x:v>2.5</x:v>
      </x:c>
      <x:c r="H206" s="42" t="n">
        <x:v>2.5</x:v>
      </x:c>
      <x:c r="I206" s="24" t="str">
        <x:v>秒</x:v>
      </x:c>
      <x:c r="J206" s="24" t="str">
        <x:v>机制确认/数值待试玩</x:v>
      </x:c>
      <x:c r="K206" s="24" t="str">
        <x:v>沿用</x:v>
      </x:c>
      <x:c r="L206" s="24" t="str">
        <x:v>进化前0.30D/2.5秒极弱但持续免费输出，培养需精英数量，建议89金币。</x:v>
      </x:c>
      <x:c r="M206" s="24" t="str">
        <x:v>策划建议，尚未写入Godot</x:v>
      </x:c>
      <x:c r="N206" s="24" t="str">
        <x:v>https://github.com/zhipijun1996/gunman-rush/blob/26e7f2a4459623f35613a857da8a75e89daa3e62/scripts/combat/weapon_definition.gd</x:v>
      </x:c>
    </x:row>
    <x:row r="207" ht="40" customHeight="1">
      <x:c r="A207" s="24" t="str">
        <x:v>G19</x:v>
      </x:c>
      <x:c r="B207" s="24" t="str">
        <x:v>灰铃侍钟机</x:v>
      </x:c>
      <x:c r="C207" s="24" t="str">
        <x:v>金色</x:v>
      </x:c>
      <x:c r="D207" s="24" t="n">
        <x:v>91</x:v>
      </x:c>
      <x:c r="E207" s="24" t="str">
        <x:v>evolution_levels</x:v>
      </x:c>
      <x:c r="F207" s="24" t="str">
        <x:v>通用</x:v>
      </x:c>
      <x:c r="G207" s="24" t="n">
        <x:v>2</x:v>
      </x:c>
      <x:c r="H207" s="42" t="n">
        <x:v>2</x:v>
      </x:c>
      <x:c r="I207" s="24" t="str">
        <x:v>计数/模式</x:v>
      </x:c>
      <x:c r="J207" s="24" t="str">
        <x:v>机制确认/数值待试玩</x:v>
      </x:c>
      <x:c r="K207" s="24" t="str">
        <x:v>沿用</x:v>
      </x:c>
      <x:c r="L207" s="24" t="str">
        <x:v>进化前0.30D/2.5秒极弱但持续免费输出，培养需精英数量，建议89金币。</x:v>
      </x:c>
      <x:c r="M207" s="24" t="str">
        <x:v>策划建议，尚未写入Godot</x:v>
      </x:c>
      <x:c r="N207" s="24" t="str">
        <x:v>https://github.com/zhipijun1996/gunman-rush/blob/26e7f2a4459623f35613a857da8a75e89daa3e62/scripts/combat/weapon_definition.gd</x:v>
      </x:c>
    </x:row>
    <x:row r="208" ht="40" customHeight="1">
      <x:c r="A208" s="24" t="str">
        <x:v>G19</x:v>
      </x:c>
      <x:c r="B208" s="24" t="str">
        <x:v>灰铃侍钟机</x:v>
      </x:c>
      <x:c r="C208" s="24" t="str">
        <x:v>金色</x:v>
      </x:c>
      <x:c r="D208" s="24" t="n">
        <x:v>91</x:v>
      </x:c>
      <x:c r="E208" s="24" t="str">
        <x:v>damage_bonus_per_level_pct</x:v>
      </x:c>
      <x:c r="F208" s="24" t="str">
        <x:v>通用</x:v>
      </x:c>
      <x:c r="G208" s="24" t="n">
        <x:v>20</x:v>
      </x:c>
      <x:c r="H208" s="42" t="n">
        <x:v>20</x:v>
      </x:c>
      <x:c r="I208" s="24" t="str">
        <x:v>计数/模式</x:v>
      </x:c>
      <x:c r="J208" s="24" t="str">
        <x:v>机制确认/数值待试玩</x:v>
      </x:c>
      <x:c r="K208" s="24" t="str">
        <x:v>沿用</x:v>
      </x:c>
      <x:c r="L208" s="24" t="str">
        <x:v>进化前0.30D/2.5秒极弱但持续免费输出，培养需精英数量，建议89金币。</x:v>
      </x:c>
      <x:c r="M208" s="24" t="str">
        <x:v>策划建议，尚未写入Godot</x:v>
      </x:c>
      <x:c r="N208" s="24" t="str">
        <x:v>https://github.com/zhipijun1996/gunman-rush/blob/26e7f2a4459623f35613a857da8a75e89daa3e62/scripts/combat/weapon_definition.gd</x:v>
      </x:c>
    </x:row>
    <x:row r="209" ht="40" customHeight="1">
      <x:c r="A209" s="24" t="str">
        <x:v>N01</x:v>
      </x:c>
      <x:c r="B209" s="24" t="str">
        <x:v>迟暮钟摆</x:v>
      </x:c>
      <x:c r="C209" s="24" t="str">
        <x:v>紫色</x:v>
      </x:c>
      <x:c r="D209" s="24" t="str">
        <x:v>新增</x:v>
      </x:c>
      <x:c r="E209" s="24" t="str">
        <x:v>world_slow_scale_by_level</x:v>
      </x:c>
      <x:c r="F209" s="24" t="n">
        <x:v>1</x:v>
      </x:c>
      <x:c r="G209" s="24" t="str"/>
      <x:c r="H209" s="42" t="n">
        <x:v>0.12</x:v>
      </x:c>
      <x:c r="I209" s="24" t="str">
        <x:v>倍率</x:v>
      </x:c>
      <x:c r="J209" s="24" t="str">
        <x:v>机制确认/数值待试玩</x:v>
      </x:c>
      <x:c r="K209" s="24" t="str">
        <x:v>变更/新增</x:v>
      </x:c>
      <x:c r="L209" s="24" t="str">
        <x:v>慢时15%→12/10/8%只加强反应窗口，仍按45时间能耗；与满血0%停止互斥优先。</x:v>
      </x:c>
      <x:c r="M209" s="24" t="str">
        <x:v>策划建议，尚未写入Godot</x:v>
      </x:c>
      <x:c r="N209" s="24" t="str">
        <x:v>https://github.com/zhipijun1996/gunman-rush</x:v>
      </x:c>
    </x:row>
    <x:row r="210" ht="40" customHeight="1">
      <x:c r="A210" s="24" t="str">
        <x:v>N01</x:v>
      </x:c>
      <x:c r="B210" s="24" t="str">
        <x:v>迟暮钟摆</x:v>
      </x:c>
      <x:c r="C210" s="24" t="str">
        <x:v>紫色</x:v>
      </x:c>
      <x:c r="D210" s="24" t="str">
        <x:v>新增</x:v>
      </x:c>
      <x:c r="E210" s="24" t="str">
        <x:v>world_slow_scale_by_level</x:v>
      </x:c>
      <x:c r="F210" s="24" t="n">
        <x:v>2</x:v>
      </x:c>
      <x:c r="G210" s="24" t="str"/>
      <x:c r="H210" s="42" t="n">
        <x:v>0.1</x:v>
      </x:c>
      <x:c r="I210" s="24" t="str">
        <x:v>倍率</x:v>
      </x:c>
      <x:c r="J210" s="24" t="str">
        <x:v>机制确认/数值待试玩</x:v>
      </x:c>
      <x:c r="K210" s="24" t="str">
        <x:v>变更/新增</x:v>
      </x:c>
      <x:c r="L210" s="24" t="str">
        <x:v>慢时15%→12/10/8%只加强反应窗口，仍按45时间能耗；与满血0%停止互斥优先。</x:v>
      </x:c>
      <x:c r="M210" s="24" t="str">
        <x:v>策划建议，尚未写入Godot</x:v>
      </x:c>
      <x:c r="N210" s="24" t="str">
        <x:v>https://github.com/zhipijun1996/gunman-rush</x:v>
      </x:c>
    </x:row>
    <x:row r="211" ht="40" customHeight="1">
      <x:c r="A211" s="24" t="str">
        <x:v>N01</x:v>
      </x:c>
      <x:c r="B211" s="24" t="str">
        <x:v>迟暮钟摆</x:v>
      </x:c>
      <x:c r="C211" s="24" t="str">
        <x:v>紫色</x:v>
      </x:c>
      <x:c r="D211" s="24" t="str">
        <x:v>新增</x:v>
      </x:c>
      <x:c r="E211" s="24" t="str">
        <x:v>world_slow_scale_by_level</x:v>
      </x:c>
      <x:c r="F211" s="24" t="n">
        <x:v>3</x:v>
      </x:c>
      <x:c r="G211" s="24" t="str"/>
      <x:c r="H211" s="42" t="n">
        <x:v>0.08</x:v>
      </x:c>
      <x:c r="I211" s="24" t="str">
        <x:v>倍率</x:v>
      </x:c>
      <x:c r="J211" s="24" t="str">
        <x:v>机制确认/数值待试玩</x:v>
      </x:c>
      <x:c r="K211" s="24" t="str">
        <x:v>变更/新增</x:v>
      </x:c>
      <x:c r="L211" s="24" t="str">
        <x:v>慢时15%→12/10/8%只加强反应窗口，仍按45时间能耗；与满血0%停止互斥优先。</x:v>
      </x:c>
      <x:c r="M211" s="24" t="str">
        <x:v>策划建议，尚未写入Godot</x:v>
      </x:c>
      <x:c r="N211" s="24" t="str">
        <x:v>https://github.com/zhipijun1996/gunman-rush</x:v>
      </x:c>
    </x:row>
    <x:row r="212" ht="40" customHeight="1">
      <x:c r="A212" s="24" t="str">
        <x:v>N01</x:v>
      </x:c>
      <x:c r="B212" s="24" t="str">
        <x:v>迟暮钟摆</x:v>
      </x:c>
      <x:c r="C212" s="24" t="str">
        <x:v>紫色</x:v>
      </x:c>
      <x:c r="D212" s="24" t="str">
        <x:v>新增</x:v>
      </x:c>
      <x:c r="E212" s="24" t="str">
        <x:v>focus_stamina_cost_multiplier</x:v>
      </x:c>
      <x:c r="F212" s="24" t="str">
        <x:v>通用</x:v>
      </x:c>
      <x:c r="G212" s="24" t="str"/>
      <x:c r="H212" s="42" t="n">
        <x:v>1</x:v>
      </x:c>
      <x:c r="I212" s="24" t="str">
        <x:v>倍率</x:v>
      </x:c>
      <x:c r="J212" s="24" t="str">
        <x:v>机制确认/数值待试玩</x:v>
      </x:c>
      <x:c r="K212" s="24" t="str">
        <x:v>变更/新增</x:v>
      </x:c>
      <x:c r="L212" s="24" t="str">
        <x:v>慢时15%→12/10/8%只加强反应窗口，仍按45时间能耗；与满血0%停止互斥优先。</x:v>
      </x:c>
      <x:c r="M212" s="24" t="str">
        <x:v>策划建议，尚未写入Godot</x:v>
      </x:c>
      <x:c r="N212" s="24" t="str">
        <x:v>https://github.com/zhipijun1996/gunman-rush</x:v>
      </x:c>
    </x:row>
    <x:row r="213" ht="40" customHeight="1">
      <x:c r="A213" s="24" t="str">
        <x:v>N01</x:v>
      </x:c>
      <x:c r="B213" s="24" t="str">
        <x:v>迟暮钟摆</x:v>
      </x:c>
      <x:c r="C213" s="24" t="str">
        <x:v>紫色</x:v>
      </x:c>
      <x:c r="D213" s="24" t="str">
        <x:v>新增</x:v>
      </x:c>
      <x:c r="E213" s="24" t="str">
        <x:v>airtime_budget_s</x:v>
      </x:c>
      <x:c r="F213" s="24" t="str">
        <x:v>通用</x:v>
      </x:c>
      <x:c r="G213" s="24" t="str"/>
      <x:c r="H213" s="42" t="n">
        <x:v>2</x:v>
      </x:c>
      <x:c r="I213" s="24" t="str">
        <x:v>秒</x:v>
      </x:c>
      <x:c r="J213" s="24" t="str">
        <x:v>机制确认/数值待试玩</x:v>
      </x:c>
      <x:c r="K213" s="24" t="str">
        <x:v>变更/新增</x:v>
      </x:c>
      <x:c r="L213" s="24" t="str">
        <x:v>慢时15%→12/10/8%只加强反应窗口，仍按45时间能耗；与满血0%停止互斥优先。</x:v>
      </x:c>
      <x:c r="M213" s="24" t="str">
        <x:v>策划建议，尚未写入Godot</x:v>
      </x:c>
      <x:c r="N213" s="24" t="str">
        <x:v>https://github.com/zhipijun1996/gunman-rush</x:v>
      </x:c>
    </x:row>
    <x:row r="214" ht="40" customHeight="1">
      <x:c r="A214" s="24" t="str">
        <x:v>N02</x:v>
      </x:c>
      <x:c r="B214" s="24" t="str">
        <x:v>余鸣护甲</x:v>
      </x:c>
      <x:c r="C214" s="24" t="str">
        <x:v>紫色</x:v>
      </x:c>
      <x:c r="D214" s="24" t="str">
        <x:v>新增</x:v>
      </x:c>
      <x:c r="E214" s="24" t="str">
        <x:v>combat_energy_cost</x:v>
      </x:c>
      <x:c r="F214" s="24" t="str">
        <x:v>通用</x:v>
      </x:c>
      <x:c r="G214" s="24" t="str"/>
      <x:c r="H214" s="42" t="n">
        <x:v>50</x:v>
      </x:c>
      <x:c r="I214" s="24" t="str">
        <x:v>点/HP/金币</x:v>
      </x:c>
      <x:c r="J214" s="24" t="str">
        <x:v>机制确认/数值待试玩</x:v>
      </x:c>
      <x:c r="K214" s="24" t="str">
        <x:v>变更/新增</x:v>
      </x:c>
      <x:c r="L214" s="24" t="str">
        <x:v>每图一次50共鸣换2护盾，强于多数普通回血但受上限3和触发限制。</x:v>
      </x:c>
      <x:c r="M214" s="24" t="str">
        <x:v>策划建议，尚未写入Godot</x:v>
      </x:c>
      <x:c r="N214" s="24" t="str">
        <x:v>https://github.com/zhipijun1996/gunman-rush</x:v>
      </x:c>
    </x:row>
    <x:row r="215" ht="40" customHeight="1">
      <x:c r="A215" s="24" t="str">
        <x:v>N02</x:v>
      </x:c>
      <x:c r="B215" s="24" t="str">
        <x:v>余鸣护甲</x:v>
      </x:c>
      <x:c r="C215" s="24" t="str">
        <x:v>紫色</x:v>
      </x:c>
      <x:c r="D215" s="24" t="str">
        <x:v>新增</x:v>
      </x:c>
      <x:c r="E215" s="24" t="str">
        <x:v>barrier_grant</x:v>
      </x:c>
      <x:c r="F215" s="24" t="str">
        <x:v>通用</x:v>
      </x:c>
      <x:c r="G215" s="24" t="str"/>
      <x:c r="H215" s="42" t="n">
        <x:v>2</x:v>
      </x:c>
      <x:c r="I215" s="24" t="str">
        <x:v>计数/模式</x:v>
      </x:c>
      <x:c r="J215" s="24" t="str">
        <x:v>机制确认/数值待试玩</x:v>
      </x:c>
      <x:c r="K215" s="24" t="str">
        <x:v>变更/新增</x:v>
      </x:c>
      <x:c r="L215" s="24" t="str">
        <x:v>每图一次50共鸣换2护盾，强于多数普通回血但受上限3和触发限制。</x:v>
      </x:c>
      <x:c r="M215" s="24" t="str">
        <x:v>策划建议，尚未写入Godot</x:v>
      </x:c>
      <x:c r="N215" s="24" t="str">
        <x:v>https://github.com/zhipijun1996/gunman-rush</x:v>
      </x:c>
    </x:row>
    <x:row r="216" ht="40" customHeight="1">
      <x:c r="A216" s="24" t="str">
        <x:v>N02</x:v>
      </x:c>
      <x:c r="B216" s="24" t="str">
        <x:v>余鸣护甲</x:v>
      </x:c>
      <x:c r="C216" s="24" t="str">
        <x:v>紫色</x:v>
      </x:c>
      <x:c r="D216" s="24" t="str">
        <x:v>新增</x:v>
      </x:c>
      <x:c r="E216" s="24" t="str">
        <x:v>max_uses_per_map</x:v>
      </x:c>
      <x:c r="F216" s="24" t="str">
        <x:v>通用</x:v>
      </x:c>
      <x:c r="G216" s="24" t="str"/>
      <x:c r="H216" s="42" t="n">
        <x:v>1</x:v>
      </x:c>
      <x:c r="I216" s="24" t="str">
        <x:v>计数/模式</x:v>
      </x:c>
      <x:c r="J216" s="24" t="str">
        <x:v>机制确认/数值待试玩</x:v>
      </x:c>
      <x:c r="K216" s="24" t="str">
        <x:v>变更/新增</x:v>
      </x:c>
      <x:c r="L216" s="24" t="str">
        <x:v>每图一次50共鸣换2护盾，强于多数普通回血但受上限3和触发限制。</x:v>
      </x:c>
      <x:c r="M216" s="24" t="str">
        <x:v>策划建议，尚未写入Godot</x:v>
      </x:c>
      <x:c r="N216" s="24" t="str">
        <x:v>https://github.com/zhipijun1996/gunman-rush</x:v>
      </x:c>
    </x:row>
    <x:row r="217" ht="40" customHeight="1">
      <x:c r="A217" s="24" t="str">
        <x:v>N02</x:v>
      </x:c>
      <x:c r="B217" s="24" t="str">
        <x:v>余鸣护甲</x:v>
      </x:c>
      <x:c r="C217" s="24" t="str">
        <x:v>紫色</x:v>
      </x:c>
      <x:c r="D217" s="24" t="str">
        <x:v>新增</x:v>
      </x:c>
      <x:c r="E217" s="24" t="str">
        <x:v>shared_barrier_cap</x:v>
      </x:c>
      <x:c r="F217" s="24" t="str">
        <x:v>通用</x:v>
      </x:c>
      <x:c r="G217" s="24" t="str"/>
      <x:c r="H217" s="42" t="n">
        <x:v>3</x:v>
      </x:c>
      <x:c r="I217" s="24" t="str">
        <x:v>计数/模式</x:v>
      </x:c>
      <x:c r="J217" s="24" t="str">
        <x:v>机制确认/数值待试玩</x:v>
      </x:c>
      <x:c r="K217" s="24" t="str">
        <x:v>变更/新增</x:v>
      </x:c>
      <x:c r="L217" s="24" t="str">
        <x:v>每图一次50共鸣换2护盾，强于多数普通回血但受上限3和触发限制。</x:v>
      </x:c>
      <x:c r="M217" s="24" t="str">
        <x:v>策划建议，尚未写入Godot</x:v>
      </x:c>
      <x:c r="N217" s="24" t="str">
        <x:v>https://github.com/zhipijun1996/gunman-rush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e55b1279c62424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5" hidden="0" customWidth="1"/>
    <x:col min="5" max="5" width="19" hidden="0" customWidth="1"/>
    <x:col min="6" max="6" width="46" hidden="0" customWidth="1"/>
    <x:col min="7" max="7" width="18" hidden="0" customWidth="1"/>
    <x:col min="8" max="8" width="18" hidden="0" customWidth="1"/>
    <x:col min="9" max="9" width="18" hidden="0" customWidth="1"/>
    <x:col min="10" max="10" width="56" hidden="0" customWidth="1"/>
    <x:col min="11" max="11" width="30" hidden="0" customWidth="1"/>
    <x:col min="12" max="12" width="27" hidden="0" customWidth="1"/>
    <x:col min="13" max="13" width="62" hidden="0" customWidth="1"/>
  </x:cols>
  <x:sheetData>
    <x:row r="1" ht="33" customHeight="1">
      <x:c r="A1" s="4" t="str">
        <x:v>失序之钟 | 重复获得自动升级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5" customHeight="1">
      <x:c r="A2" s="9" t="str">
        <x:v>只含已允许升级的道具；重复获得只升等级。参数表中各级数值可独立修改，本表为评审后的V5基线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10" customHeight="1"/>
    <x:row r="5" ht="31" customHeight="1">
      <x:c r="A5" s="19" t="str">
        <x:v>道具ID</x:v>
      </x:c>
      <x:c r="B5" s="19" t="str">
        <x:v>名称</x:v>
      </x:c>
      <x:c r="C5" s="19" t="str">
        <x:v>稀有度</x:v>
      </x:c>
      <x:c r="D5" s="19" t="str">
        <x:v>固定齿轮槽</x:v>
      </x:c>
      <x:c r="E5" s="19" t="str">
        <x:v>单次购买价(建议)</x:v>
      </x:c>
      <x:c r="F5" s="19" t="str">
        <x:v>等级参数键</x:v>
      </x:c>
      <x:c r="G5" s="19" t="str">
        <x:v>Lv1</x:v>
      </x:c>
      <x:c r="H5" s="19" t="str">
        <x:v>Lv2</x:v>
      </x:c>
      <x:c r="I5" s="19" t="str">
        <x:v>Lv3</x:v>
      </x:c>
      <x:c r="J5" s="19" t="str">
        <x:v>具体单位/说明</x:v>
      </x:c>
      <x:c r="K5" s="19" t="str">
        <x:v>重复获得</x:v>
      </x:c>
      <x:c r="L5" s="19" t="str">
        <x:v>满级处理</x:v>
      </x:c>
      <x:c r="M5" s="19" t="str">
        <x:v>设计备注</x:v>
      </x:c>
    </x:row>
    <x:row r="6" ht="45" customHeight="1">
      <x:c r="A6" s="24" t="str">
        <x:v>B03</x:v>
      </x:c>
      <x:c r="B6" s="24" t="str">
        <x:v>薄暮枪管</x:v>
      </x:c>
      <x:c r="C6" s="24" t="str">
        <x:v>蓝色</x:v>
      </x:c>
      <x:c r="D6" s="24" t="n">
        <x:v>2</x:v>
      </x:c>
      <x:c r="E6" s="24" t="n">
        <x:v>28</x:v>
      </x:c>
      <x:c r="F6" s="24" t="str">
        <x:v>primary_damage_multiplier_by_level</x:v>
      </x:c>
      <x:c r="G6" s="24" t="n">
        <x:v>1.12</x:v>
      </x:c>
      <x:c r="H6" s="24" t="n">
        <x:v>1.22</x:v>
      </x:c>
      <x:c r="I6" s="24" t="n">
        <x:v>1.32</x:v>
      </x:c>
      <x:c r="J6" s="24" t="str">
        <x:v>等级只提升效果数值；不增加槽位/不改变售价；不连续复乘</x:v>
      </x:c>
      <x:c r="K6" s="24" t="str">
        <x:v>第二次Lv2，第三次Lv3</x:v>
      </x:c>
      <x:c r="L6" s="24" t="str">
        <x:v>Lv3后不再进入抽样池</x:v>
      </x:c>
      <x:c r="M6" s="24" t="str">
        <x:v>最易用的通用增伤，三级+32%靠重复获得；价格略降以鼓励成套构筑。</x:v>
      </x:c>
    </x:row>
    <x:row r="7" ht="45" customHeight="1">
      <x:c r="A7" s="24" t="str">
        <x:v>B22</x:v>
      </x:c>
      <x:c r="B7" s="24" t="str">
        <x:v>扩震钟环</x:v>
      </x:c>
      <x:c r="C7" s="24" t="str">
        <x:v>蓝色</x:v>
      </x:c>
      <x:c r="D7" s="24" t="n">
        <x:v>2</x:v>
      </x:c>
      <x:c r="E7" s="24" t="n">
        <x:v>29</x:v>
      </x:c>
      <x:c r="F7" s="24" t="str">
        <x:v>bomb_explosion_radius_multiplier_by_level</x:v>
      </x:c>
      <x:c r="G7" s="24" t="n">
        <x:v>1.12</x:v>
      </x:c>
      <x:c r="H7" s="24" t="n">
        <x:v>1.2</x:v>
      </x:c>
      <x:c r="I7" s="24" t="n">
        <x:v>1.28</x:v>
      </x:c>
      <x:c r="J7" s="24" t="str">
        <x:v>等级只提升效果数值；不增加槽位/不改变售价；不连续复乘</x:v>
      </x:c>
      <x:c r="K7" s="24" t="str">
        <x:v>第二次Lv2，第三次Lv3</x:v>
      </x:c>
      <x:c r="L7" s="24" t="str">
        <x:v>Lv3后不再进入抽样池</x:v>
      </x:c>
      <x:c r="M7" s="24" t="str">
        <x:v>三种炸弹共用，Lv3半径+28%范围面积约+64%，容易过强；保留不增伤。</x:v>
      </x:c>
    </x:row>
    <x:row r="8" ht="45" customHeight="1">
      <x:c r="A8" s="24" t="str">
        <x:v>B29</x:v>
      </x:c>
      <x:c r="B8" s="24" t="str">
        <x:v>薄钟长管</x:v>
      </x:c>
      <x:c r="C8" s="24" t="str">
        <x:v>蓝色</x:v>
      </x:c>
      <x:c r="D8" s="24" t="n">
        <x:v>1</x:v>
      </x:c>
      <x:c r="E8" s="24" t="n">
        <x:v>25</x:v>
      </x:c>
      <x:c r="F8" s="24" t="str">
        <x:v>projectile_range_multiplier_by_level</x:v>
      </x:c>
      <x:c r="G8" s="24" t="n">
        <x:v>1.2</x:v>
      </x:c>
      <x:c r="H8" s="24" t="n">
        <x:v>1.35</x:v>
      </x:c>
      <x:c r="I8" s="24" t="n">
        <x:v>1.5</x:v>
      </x:c>
      <x:c r="J8" s="24" t="str">
        <x:v>等级只提升效果数值；不增加槽位/不改变售价；不连续复乘</x:v>
      </x:c>
      <x:c r="K8" s="24" t="str">
        <x:v>第二次Lv2，第三次Lv3</x:v>
      </x:c>
      <x:c r="L8" s="24" t="str">
        <x:v>Lv3后不再进入抽样池</x:v>
      </x:c>
      <x:c r="M8" s="24" t="str">
        <x:v>+20/35/50%射程不增移速，1槽才合理；对激光等非弹体模式需筛选。</x:v>
      </x:c>
    </x:row>
    <x:row r="9" ht="45" customHeight="1">
      <x:c r="A9" s="24" t="str">
        <x:v>P03</x:v>
      </x:c>
      <x:c r="B9" s="24" t="str">
        <x:v>术式增幅石</x:v>
      </x:c>
      <x:c r="C9" s="24" t="str">
        <x:v>紫色</x:v>
      </x:c>
      <x:c r="D9" s="24" t="n">
        <x:v>3</x:v>
      </x:c>
      <x:c r="E9" s="24" t="n">
        <x:v>54</x:v>
      </x:c>
      <x:c r="F9" s="24" t="str">
        <x:v>lv3_skill_damage_multiplier_by_level</x:v>
      </x:c>
      <x:c r="G9" s="24" t="n">
        <x:v>1.2</x:v>
      </x:c>
      <x:c r="H9" s="24" t="n">
        <x:v>1.3</x:v>
      </x:c>
      <x:c r="I9" s="24" t="n">
        <x:v>1.4</x:v>
      </x:c>
      <x:c r="J9" s="24" t="str">
        <x:v>等级只提升效果数值；不增加槽位/不改变售价；不连续复乘</x:v>
      </x:c>
      <x:c r="K9" s="24" t="str">
        <x:v>第二次Lv2，第三次Lv3</x:v>
      </x:c>
      <x:c r="L9" s="24" t="str">
        <x:v>Lv3后不再进入抽样池</x:v>
      </x:c>
      <x:c r="M9" s="24" t="str">
        <x:v>Lv3前置强，对所有Lv3主动直伤+20/30/40%，价格54、3槽；位移不强化。</x:v>
      </x:c>
    </x:row>
    <x:row r="10" ht="45" customHeight="1">
      <x:c r="A10" s="24" t="str">
        <x:v>N01</x:v>
      </x:c>
      <x:c r="B10" s="24" t="str">
        <x:v>迟暮钟摆</x:v>
      </x:c>
      <x:c r="C10" s="24" t="str">
        <x:v>紫色</x:v>
      </x:c>
      <x:c r="D10" s="24" t="n">
        <x:v>2</x:v>
      </x:c>
      <x:c r="E10" s="24" t="n">
        <x:v>49</x:v>
      </x:c>
      <x:c r="F10" s="24" t="str">
        <x:v>world_slow_scale_by_level</x:v>
      </x:c>
      <x:c r="G10" s="24" t="n">
        <x:v>0.12</x:v>
      </x:c>
      <x:c r="H10" s="24" t="n">
        <x:v>0.1</x:v>
      </x:c>
      <x:c r="I10" s="24" t="n">
        <x:v>0.08</x:v>
      </x:c>
      <x:c r="J10" s="24" t="str">
        <x:v>等级只提升效果数值；不增加槽位/不改变售价；不连续复乘</x:v>
      </x:c>
      <x:c r="K10" s="24" t="str">
        <x:v>第二次Lv2，第三次Lv3</x:v>
      </x:c>
      <x:c r="L10" s="24" t="str">
        <x:v>Lv3后不再进入抽样池</x:v>
      </x:c>
      <x:c r="M10" s="24" t="str">
        <x:v>慢时15%→12/10/8%只加强反应窗口，仍按45时间能耗；与满血0%停止互斥优先。</x:v>
      </x:c>
    </x:row>
    <x:row r="11" ht="45" customHeight="1">
      <x:c r="A11" s="24" t="str">
        <x:v>P08</x:v>
      </x:c>
      <x:c r="B11" s="24" t="str">
        <x:v>穿响音叉</x:v>
      </x:c>
      <x:c r="C11" s="24" t="str">
        <x:v>紫色</x:v>
      </x:c>
      <x:c r="D11" s="24" t="n">
        <x:v>3</x:v>
      </x:c>
      <x:c r="E11" s="24" t="n">
        <x:v>48</x:v>
      </x:c>
      <x:c r="F11" s="24" t="str">
        <x:v>pierced_damage_ratio_D_by_level</x:v>
      </x:c>
      <x:c r="G11" s="24" t="n">
        <x:v>0.65</x:v>
      </x:c>
      <x:c r="H11" s="24" t="n">
        <x:v>0.8</x:v>
      </x:c>
      <x:c r="I11" s="24" t="n">
        <x:v>0.95</x:v>
      </x:c>
      <x:c r="J11" s="24" t="str">
        <x:v>等级只提升效果数值；不增加槽位/不改变售价；不连续复乘</x:v>
      </x:c>
      <x:c r="K11" s="24" t="str">
        <x:v>第二次Lv2，第三次Lv3</x:v>
      </x:c>
      <x:c r="L11" s="24" t="str">
        <x:v>Lv3后不再进入抽样池</x:v>
      </x:c>
      <x:c r="M11" s="24" t="str">
        <x:v>穿透只能作用于有第二目标的遭遇，不加单体Boss伤害，定价48。</x:v>
      </x:c>
    </x:row>
    <x:row r="12" ht="45" customHeight="1">
      <x:c r="A12" s="24" t="str">
        <x:v>P31</x:v>
      </x:c>
      <x:c r="B12" s="24" t="str">
        <x:v>刻风膛室</x:v>
      </x:c>
      <x:c r="C12" s="24" t="str">
        <x:v>紫色</x:v>
      </x:c>
      <x:c r="D12" s="24" t="n">
        <x:v>3</x:v>
      </x:c>
      <x:c r="E12" s="24" t="n">
        <x:v>49</x:v>
      </x:c>
      <x:c r="F12" s="24" t="str">
        <x:v>air_recoil_hit_extra_damage_ratio_D_by_level</x:v>
      </x:c>
      <x:c r="G12" s="24" t="n">
        <x:v>0.45</x:v>
      </x:c>
      <x:c r="H12" s="24" t="n">
        <x:v>0.65</x:v>
      </x:c>
      <x:c r="I12" s="24" t="n">
        <x:v>0.85</x:v>
      </x:c>
      <x:c r="J12" s="24" t="str">
        <x:v>等级只提升效果数值；不增加槽位/不改变售价；不连续复乘</x:v>
      </x:c>
      <x:c r="K12" s="24" t="str">
        <x:v>第二次Lv2，第三次Lv3</x:v>
      </x:c>
      <x:c r="L12" s="24" t="str">
        <x:v>Lv3后不再进入抽样池</x:v>
      </x:c>
      <x:c r="M12" s="24" t="str">
        <x:v>空中反冲命中才有0.45~0.85D额外爆发，P0可做通用命中事件验证。</x:v>
      </x:c>
    </x:row>
    <x:row r="13" ht="45" customHeight="1">
      <x:c r="A13" s="24" t="str">
        <x:v>B21</x:v>
      </x:c>
      <x:c r="B13" s="24" t="str">
        <x:v>长索绕轮</x:v>
      </x:c>
      <x:c r="C13" s="24" t="str">
        <x:v>蓝色</x:v>
      </x:c>
      <x:c r="D13" s="24" t="n">
        <x:v>4</x:v>
      </x:c>
      <x:c r="E13" s="24" t="n">
        <x:v>27</x:v>
      </x:c>
      <x:c r="F13" s="24" t="str">
        <x:v>hook_range_multiplier_by_level</x:v>
      </x:c>
      <x:c r="G13" s="24" t="n">
        <x:v>1.15</x:v>
      </x:c>
      <x:c r="H13" s="24" t="n">
        <x:v>1.25</x:v>
      </x:c>
      <x:c r="I13" s="24" t="n">
        <x:v>1.35</x:v>
      </x:c>
      <x:c r="J13" s="24" t="str">
        <x:v>等级只提升效果数值；不增加槽位/不改变售价；不连续复乘</x:v>
      </x:c>
      <x:c r="K13" s="24" t="str">
        <x:v>第二次Lv2，第三次Lv3</x:v>
      </x:c>
      <x:c r="L13" s="24" t="str">
        <x:v>Lv3后不再进入抽样池</x:v>
      </x:c>
      <x:c r="M13" s="24" t="str">
        <x:v>4槽仅加钩索距离，Lv3才显著；价格下降，主线不得强制依赖。</x:v>
      </x:c>
    </x:row>
    <x:row r="14" ht="45" customHeight="1">
      <x:c r="A14" s="24" t="str">
        <x:v>P29</x:v>
      </x:c>
      <x:c r="B14" s="24" t="str">
        <x:v>雷丝引线</x:v>
      </x:c>
      <x:c r="C14" s="24" t="str">
        <x:v>紫色</x:v>
      </x:c>
      <x:c r="D14" s="24" t="n">
        <x:v>2</x:v>
      </x:c>
      <x:c r="E14" s="24" t="n">
        <x:v>54</x:v>
      </x:c>
      <x:c r="F14" s="24" t="str">
        <x:v>chain_targets_by_level</x:v>
      </x:c>
      <x:c r="G14" s="24" t="n">
        <x:v>1</x:v>
      </x:c>
      <x:c r="H14" s="24" t="n">
        <x:v>2</x:v>
      </x:c>
      <x:c r="I14" s="24" t="n">
        <x:v>2</x:v>
      </x:c>
      <x:c r="J14" s="24" t="str">
        <x:v>等级只提升效果数值；不增加槽位/不改变售价；不连续复乘</x:v>
      </x:c>
      <x:c r="K14" s="24" t="str">
        <x:v>第二次Lv2，第三次Lv3</x:v>
      </x:c>
      <x:c r="L14" s="24" t="str">
        <x:v>Lv3后不再进入抽样池</x:v>
      </x:c>
      <x:c r="M14" s="24" t="str">
        <x:v>通用电链最多两目标、1.5秒冷却，Lv3额外0.45D；54金+2槽比较强。</x:v>
      </x:c>
    </x:row>
    <x:row r="15" ht="45" customHeight="1">
      <x:c r="A15" s="24" t="str">
        <x:v>P29</x:v>
      </x:c>
      <x:c r="B15" s="24" t="str">
        <x:v>雷丝引线</x:v>
      </x:c>
      <x:c r="C15" s="24" t="str">
        <x:v>紫色</x:v>
      </x:c>
      <x:c r="D15" s="24" t="n">
        <x:v>2</x:v>
      </x:c>
      <x:c r="E15" s="24" t="n">
        <x:v>54</x:v>
      </x:c>
      <x:c r="F15" s="24" t="str">
        <x:v>chain_damage_ratio_D_by_level</x:v>
      </x:c>
      <x:c r="G15" s="24" t="n">
        <x:v>0.3</x:v>
      </x:c>
      <x:c r="H15" s="24" t="n">
        <x:v>0.3</x:v>
      </x:c>
      <x:c r="I15" s="24" t="n">
        <x:v>0.45</x:v>
      </x:c>
      <x:c r="J15" s="24" t="str">
        <x:v>等级只提升效果数值；不增加槽位/不改变售价；不连续复乘</x:v>
      </x:c>
      <x:c r="K15" s="24" t="str">
        <x:v>第二次Lv2，第三次Lv3</x:v>
      </x:c>
      <x:c r="L15" s="24" t="str">
        <x:v>Lv3后不再进入抽样池</x:v>
      </x:c>
      <x:c r="M15" s="24" t="str">
        <x:v>通用电链最多两目标、1.5秒冷却，Lv3额外0.45D；54金+2槽比较强。</x:v>
      </x:c>
    </x:row>
    <x:row r="16" ht="45" customHeight="1">
      <x:c r="A16" s="24" t="str">
        <x:v>B04</x:v>
      </x:c>
      <x:c r="B16" s="24" t="str">
        <x:v>省力扳簧</x:v>
      </x:c>
      <x:c r="C16" s="24" t="str">
        <x:v>蓝色</x:v>
      </x:c>
      <x:c r="D16" s="24" t="n">
        <x:v>1</x:v>
      </x:c>
      <x:c r="E16" s="24" t="n">
        <x:v>30</x:v>
      </x:c>
      <x:c r="F16" s="24" t="str">
        <x:v>focus_stamina_drain_multiplier_by_level</x:v>
      </x:c>
      <x:c r="G16" s="24" t="n">
        <x:v>0.82</x:v>
      </x:c>
      <x:c r="H16" s="24" t="n">
        <x:v>0.72</x:v>
      </x:c>
      <x:c r="I16" s="24" t="n">
        <x:v>0.62</x:v>
      </x:c>
      <x:c r="J16" s="24" t="str">
        <x:v>等级只提升效果数值；不增加槽位/不改变售价；不连续复乘</x:v>
      </x:c>
      <x:c r="K16" s="24" t="str">
        <x:v>第二次Lv2，第三次Lv3</x:v>
      </x:c>
      <x:c r="L16" s="24" t="str">
        <x:v>Lv3后不再进入抽样池</x:v>
      </x:c>
      <x:c r="M16" s="24" t="str">
        <x:v>1槽三级减耗38%非常强，但不延长2秒慢时，靠重复获取限制上限。</x:v>
      </x:c>
    </x:row>
    <x:row r="17" ht="45" customHeight="1">
      <x:c r="A17" s="24" t="str">
        <x:v>B06</x:v>
      </x:c>
      <x:c r="B17" s="24" t="str">
        <x:v>回声小匣</x:v>
      </x:c>
      <x:c r="C17" s="24" t="str">
        <x:v>蓝色</x:v>
      </x:c>
      <x:c r="D17" s="24" t="n">
        <x:v>2</x:v>
      </x:c>
      <x:c r="E17" s="24" t="n">
        <x:v>32</x:v>
      </x:c>
      <x:c r="F17" s="24" t="str">
        <x:v>air_hit_refund_by_level</x:v>
      </x:c>
      <x:c r="G17" s="24" t="n">
        <x:v>10</x:v>
      </x:c>
      <x:c r="H17" s="24" t="n">
        <x:v>15</x:v>
      </x:c>
      <x:c r="I17" s="24" t="n">
        <x:v>20</x:v>
      </x:c>
      <x:c r="J17" s="24" t="str">
        <x:v>等级只提升效果数值；不增加槽位/不改变售价；不连续复乘</x:v>
      </x:c>
      <x:c r="K17" s="24" t="str">
        <x:v>第二次Lv2，第三次Lv3</x:v>
      </x:c>
      <x:c r="L17" s="24" t="str">
        <x:v>Lv3后不再进入抽样池</x:v>
      </x:c>
      <x:c r="M17" s="24" t="str">
        <x:v>空中命中补10/15/20时间能量很强，2秒上限与每腾空限额阻止无限停时。</x:v>
      </x:c>
    </x:row>
    <x:row r="18" ht="45" customHeight="1">
      <x:c r="A18" s="24" t="str">
        <x:v>B06</x:v>
      </x:c>
      <x:c r="B18" s="24" t="str">
        <x:v>回声小匣</x:v>
      </x:c>
      <x:c r="C18" s="24" t="str">
        <x:v>蓝色</x:v>
      </x:c>
      <x:c r="D18" s="24" t="n">
        <x:v>2</x:v>
      </x:c>
      <x:c r="E18" s="24" t="n">
        <x:v>32</x:v>
      </x:c>
      <x:c r="F18" s="24" t="str">
        <x:v>airtime_refund_cap_by_level</x:v>
      </x:c>
      <x:c r="G18" s="24" t="n">
        <x:v>20</x:v>
      </x:c>
      <x:c r="H18" s="24" t="n">
        <x:v>30</x:v>
      </x:c>
      <x:c r="I18" s="24" t="n">
        <x:v>40</x:v>
      </x:c>
      <x:c r="J18" s="24" t="str">
        <x:v>等级只提升效果数值；不增加槽位/不改变售价；不连续复乘</x:v>
      </x:c>
      <x:c r="K18" s="24" t="str">
        <x:v>第二次Lv2，第三次Lv3</x:v>
      </x:c>
      <x:c r="L18" s="24" t="str">
        <x:v>Lv3后不再进入抽样池</x:v>
      </x:c>
      <x:c r="M18" s="24" t="str">
        <x:v>空中命中补10/15/20时间能量很强，2秒上限与每腾空限额阻止无限停时。</x:v>
      </x:c>
    </x:row>
    <x:row r="19" ht="45" customHeight="1">
      <x:c r="A19" s="24" t="str">
        <x:v>B18</x:v>
      </x:c>
      <x:c r="B19" s="24" t="str">
        <x:v>捕魂音叉</x:v>
      </x:c>
      <x:c r="C19" s="24" t="str">
        <x:v>蓝色</x:v>
      </x:c>
      <x:c r="D19" s="24" t="n">
        <x:v>2</x:v>
      </x:c>
      <x:c r="E19" s="24" t="n">
        <x:v>30</x:v>
      </x:c>
      <x:c r="F19" s="24" t="str">
        <x:v>extra_combat_energy_per_target_by_level</x:v>
      </x:c>
      <x:c r="G19" s="24" t="n">
        <x:v>2</x:v>
      </x:c>
      <x:c r="H19" s="24" t="n">
        <x:v>3</x:v>
      </x:c>
      <x:c r="I19" s="24" t="n">
        <x:v>4</x:v>
      </x:c>
      <x:c r="J19" s="24" t="str">
        <x:v>等级只提升效果数值；不增加槽位/不改变售价；不连续复乘</x:v>
      </x:c>
      <x:c r="K19" s="24" t="str">
        <x:v>第二次Lv2，第三次Lv3</x:v>
      </x:c>
      <x:c r="L19" s="24" t="str">
        <x:v>Lv3后不再进入抽样池</x:v>
      </x:c>
      <x:c r="M19" s="24" t="str">
        <x:v>7基础+2/+3/+4到9/10/11，受12攻击包上限约束；三级价总90金。</x:v>
      </x:c>
    </x:row>
    <x:row r="20" ht="45" customHeight="1">
      <x:c r="A20" s="24" t="str">
        <x:v>B26</x:v>
      </x:c>
      <x:c r="B20" s="24" t="str">
        <x:v>巨腹储鸣罐</x:v>
      </x:c>
      <x:c r="C20" s="24" t="str">
        <x:v>蓝色</x:v>
      </x:c>
      <x:c r="D20" s="24" t="n">
        <x:v>5</x:v>
      </x:c>
      <x:c r="E20" s="24" t="n">
        <x:v>33</x:v>
      </x:c>
      <x:c r="F20" s="24" t="str">
        <x:v>max_resonance_add_by_level</x:v>
      </x:c>
      <x:c r="G20" s="24" t="n">
        <x:v>40</x:v>
      </x:c>
      <x:c r="H20" s="24" t="n">
        <x:v>60</x:v>
      </x:c>
      <x:c r="I20" s="24" t="n">
        <x:v>80</x:v>
      </x:c>
      <x:c r="J20" s="24" t="str">
        <x:v>等级只提升效果数值；不增加槽位/不改变售价；不连续复乘</x:v>
      </x:c>
      <x:c r="K20" s="24" t="str">
        <x:v>第二次Lv2，第三次Lv3</x:v>
      </x:c>
      <x:c r="L20" s="24" t="str">
        <x:v>Lv3后不再进入抽样池</x:v>
      </x:c>
      <x:c r="M20" s="24" t="str">
        <x:v>5槽换大容量140~180，不直接产能，强度依赖高频Lv3；价格33更合理。</x:v>
      </x:c>
    </x:row>
    <x:row r="21" ht="45" customHeight="1">
      <x:c r="A21" s="24" t="str">
        <x:v>B33</x:v>
      </x:c>
      <x:c r="B21" s="24" t="str">
        <x:v>小焰触片</x:v>
      </x:c>
      <x:c r="C21" s="24" t="str">
        <x:v>蓝色</x:v>
      </x:c>
      <x:c r="D21" s="24" t="n">
        <x:v>1</x:v>
      </x:c>
      <x:c r="E21" s="24" t="n">
        <x:v>28</x:v>
      </x:c>
      <x:c r="F21" s="24" t="str">
        <x:v>damage_ratio_D_by_level</x:v>
      </x:c>
      <x:c r="G21" s="24" t="n">
        <x:v>1.1</x:v>
      </x:c>
      <x:c r="H21" s="24" t="n">
        <x:v>1.5</x:v>
      </x:c>
      <x:c r="I21" s="24" t="n">
        <x:v>1.9</x:v>
      </x:c>
      <x:c r="J21" s="24" t="str">
        <x:v>等级只提升效果数值；不增加槽位/不改变售价；不连续复乘</x:v>
      </x:c>
      <x:c r="K21" s="24" t="str">
        <x:v>第二次Lv2，第三次Lv3</x:v>
      </x:c>
      <x:c r="L21" s="24" t="str">
        <x:v>Lv3后不再进入抽样池</x:v>
      </x:c>
      <x:c r="M21" s="24" t="str">
        <x:v>1槽短CD爆炸主动很划算，但消耗30共鸣，非炸弹武器才出；三级达1.9D。</x:v>
      </x:c>
    </x:row>
    <x:row r="22" ht="45" customHeight="1">
      <x:c r="A22" s="24" t="str">
        <x:v>P17</x:v>
      </x:c>
      <x:c r="B22" s="24" t="str">
        <x:v>游鸣聚能体</x:v>
      </x:c>
      <x:c r="C22" s="24" t="str">
        <x:v>紫色</x:v>
      </x:c>
      <x:c r="D22" s="24" t="n">
        <x:v>2</x:v>
      </x:c>
      <x:c r="E22" s="24" t="n">
        <x:v>42</x:v>
      </x:c>
      <x:c r="F22" s="24" t="str">
        <x:v>charge_move_speed_multiplier_by_level</x:v>
      </x:c>
      <x:c r="G22" s="24" t="n">
        <x:v>0.4</x:v>
      </x:c>
      <x:c r="H22" s="24" t="n">
        <x:v>0.55</x:v>
      </x:c>
      <x:c r="I22" s="24" t="n">
        <x:v>0.7</x:v>
      </x:c>
      <x:c r="J22" s="24" t="str">
        <x:v>等级只提升效果数值；不增加槽位/不改变售价；不连续复乘</x:v>
      </x:c>
      <x:c r="K22" s="24" t="str">
        <x:v>第二次Lv2，第三次Lv3</x:v>
      </x:c>
      <x:c r="L22" s="24" t="str">
        <x:v>Lv3后不再进入抽样池</x:v>
      </x:c>
      <x:c r="M22" s="24" t="str">
        <x:v>Lv3蓄力期间40%/55%/70%地速移动，对短蓄力0.28秒收益有限；定价42。</x:v>
      </x:c>
    </x:row>
    <x:row r="23" ht="45" customHeight="1">
      <x:c r="A23" s="24" t="str">
        <x:v>B11</x:v>
      </x:c>
      <x:c r="B23" s="24" t="str">
        <x:v>心室木匣</x:v>
      </x:c>
      <x:c r="C23" s="24" t="str">
        <x:v>蓝色</x:v>
      </x:c>
      <x:c r="D23" s="24" t="n">
        <x:v>2</x:v>
      </x:c>
      <x:c r="E23" s="24" t="n">
        <x:v>29</x:v>
      </x:c>
      <x:c r="F23" s="24" t="str">
        <x:v>max_hp_add_by_level</x:v>
      </x:c>
      <x:c r="G23" s="24" t="n">
        <x:v>1</x:v>
      </x:c>
      <x:c r="H23" s="24" t="n">
        <x:v>2</x:v>
      </x:c>
      <x:c r="I23" s="24" t="n">
        <x:v>3</x:v>
      </x:c>
      <x:c r="J23" s="24" t="str">
        <x:v>等级只提升效果数值；不增加槽位/不改变售价；不连续复乘</x:v>
      </x:c>
      <x:c r="K23" s="24" t="str">
        <x:v>第二次Lv2，第三次Lv3</x:v>
      </x:c>
      <x:c r="L23" s="24" t="str">
        <x:v>Lv3后不再进入抽样池</x:v>
      </x:c>
      <x:c r="M23" s="24" t="str">
        <x:v>+1/+2/+3HP成长很稳，2槽升三级性价比高；不能免费加当前HP。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de3bbcbabcc429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0" hidden="0" customWidth="1"/>
    <x:col min="4" max="4" width="26" hidden="0" customWidth="1"/>
    <x:col min="5" max="5" width="78" hidden="0" customWidth="1"/>
    <x:col min="6" max="6" width="70" hidden="0" customWidth="1"/>
    <x:col min="7" max="7" width="17" hidden="0" customWidth="1"/>
    <x:col min="8" max="8" width="53" hidden="0" customWidth="1"/>
    <x:col min="9" max="9" width="22" hidden="0" customWidth="1"/>
  </x:cols>
  <x:sheetData>
    <x:row r="1" ht="33" customHeight="1">
      <x:c r="A1" s="4" t="str">
        <x:v>失序之钟 | 16组隐藏联动审计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9组仍具组合基础 · 3组需改写机制 · 4组因删除道具失效；这里的‘有效’不代表已实现</x:v>
      </x:c>
      <x:c r="B2" s="9"/>
      <x:c r="C2" s="9"/>
      <x:c r="D2" s="9"/>
      <x:c r="E2" s="9"/>
      <x:c r="F2" s="9"/>
      <x:c r="G2" s="9"/>
      <x:c r="H2" s="9"/>
      <x:c r="I2" s="9"/>
    </x:row>
    <x:row r="3" ht="10" customHeight="1"/>
    <x:row r="5" ht="31" customHeight="1">
      <x:c r="A5" s="19" t="str">
        <x:v>联动编号</x:v>
      </x:c>
      <x:c r="B5" s="19" t="str">
        <x:v>道具ID组合</x:v>
      </x:c>
      <x:c r="C5" s="19" t="str">
        <x:v>V5道具组合</x:v>
      </x:c>
      <x:c r="D5" s="19" t="str">
        <x:v>关联状态</x:v>
      </x:c>
      <x:c r="E5" s="19" t="str">
        <x:v>机制建议/原配方迁移</x:v>
      </x:c>
      <x:c r="F5" s="19" t="str">
        <x:v>安全约束</x:v>
      </x:c>
      <x:c r="G5" s="19" t="str">
        <x:v>实现优先级</x:v>
      </x:c>
      <x:c r="H5" s="19" t="str">
        <x:v>评审理由</x:v>
      </x:c>
      <x:c r="I5" s="19" t="str">
        <x:v>来源(旧图鉴)</x:v>
      </x:c>
    </x:row>
    <x:row r="6" ht="55" customHeight="1">
      <x:c r="A6" s="24" t="str">
        <x:v>S01</x:v>
      </x:c>
      <x:c r="B6" s="24" t="str">
        <x:v>B18 + P15</x:v>
      </x:c>
      <x:c r="C6" s="24" t="str">
        <x:v>捕魂音叉 + 续鸣装配匣</x:v>
      </x:c>
      <x:c r="D6" s="24" t="str">
        <x:v>有效但效果需实测</x:v>
      </x:c>
      <x:c r="E6" s="24" t="str">
        <x:v>捕魂音叉使主动技能更易积累共鸣；续鸣装配匣的临时机不得通过副伤再次产共鸣。</x:v>
      </x:c>
      <x:c r="F6" s="24" t="str">
        <x:v>巡钟装置不能因为巡钟装置命中再补共鸣或再孵化</x:v>
      </x:c>
      <x:c r="G6" s="24" t="str">
        <x:v>P2</x:v>
      </x:c>
      <x:c r="H6" s="24" t="str">
        <x:v>联动输入独立按攻击包/地图实例去重，未经过实战验收</x:v>
      </x:c>
      <x:c r="I6" s="24" t="str">
        <x:v>V4 16组历史联动</x:v>
      </x:c>
    </x:row>
    <x:row r="7" ht="55" customHeight="1">
      <x:c r="A7" s="24" t="str">
        <x:v>S02</x:v>
      </x:c>
      <x:c r="B7" s="24" t="str">
        <x:v>P14 + B19</x:v>
      </x:c>
      <x:c r="C7" s="24" t="str">
        <x:v>游钟机群 + 梦读铭片</x:v>
      </x:c>
      <x:c r="D7" s="24" t="str">
        <x:v>有效但效果需实测</x:v>
      </x:c>
      <x:c r="E7" s="24" t="str">
        <x:v>游钟机群优先锁定梦读铭片的合法4秒钩索标记；每台机体保留单独目标锁。</x:v>
      </x:c>
      <x:c r="F7" s="24" t="str">
        <x:v>每个目标最多2只巡钟装置锁定；副伤不重复产能量</x:v>
      </x:c>
      <x:c r="G7" s="24" t="str">
        <x:v>P2</x:v>
      </x:c>
      <x:c r="H7" s="24" t="str">
        <x:v>联动输入独立按攻击包/地图实例去重，未经过实战验收</x:v>
      </x:c>
      <x:c r="I7" s="24" t="str">
        <x:v>V4 16组历史联动</x:v>
      </x:c>
    </x:row>
    <x:row r="8" ht="55" customHeight="1">
      <x:c r="A8" s="24" t="str">
        <x:v>S03</x:v>
      </x:c>
      <x:c r="B8" s="24" t="str">
        <x:v>P07 + P10</x:v>
      </x:c>
      <x:c r="C8" s="24" t="str">
        <x:v>已删除道具 + 腐蚀尾铃</x:v>
      </x:c>
      <x:c r="D8" s="24" t="str">
        <x:v>失效：涉及已删除道具</x:v>
      </x:c>
      <x:c r="E8" s="24" t="str">
        <x:v>原配方已失效；不放入正式联动池。涉及删除ID：P07</x:v>
      </x:c>
      <x:c r="F8" s="24" t="str">
        <x:v>一发6分弹只生成一团；怪物DOT去重</x:v>
      </x:c>
      <x:c r="G8" s="24" t="str">
        <x:v>P2</x:v>
      </x:c>
      <x:c r="H8" s="24" t="str">
        <x:v>联动输入独立按攻击包/地图实例去重，未经过实战验收</x:v>
      </x:c>
      <x:c r="I8" s="24" t="str">
        <x:v>V4 16组历史联动</x:v>
      </x:c>
    </x:row>
    <x:row r="9" ht="55" customHeight="1">
      <x:c r="A9" s="24" t="str">
        <x:v>S04</x:v>
      </x:c>
      <x:c r="B9" s="24" t="str">
        <x:v>P11 + P10</x:v>
      </x:c>
      <x:c r="C9" s="24" t="str">
        <x:v>已删除道具 + 腐蚀尾铃</x:v>
      </x:c>
      <x:c r="D9" s="24" t="str">
        <x:v>失效：涉及已删除道具</x:v>
      </x:c>
      <x:c r="E9" s="24" t="str">
        <x:v>原配方已失效；不放入正式联动池。涉及删除ID：P11</x:v>
      </x:c>
      <x:c r="F9" s="24" t="str">
        <x:v>不会无限复制DOT实体，同敌总DOT上限不变</x:v>
      </x:c>
      <x:c r="G9" s="24" t="str">
        <x:v>P3</x:v>
      </x:c>
      <x:c r="H9" s="24" t="str">
        <x:v>联动输入独立按攻击包/地图实例去重，未经过实战验收</x:v>
      </x:c>
      <x:c r="I9" s="24" t="str">
        <x:v>V4 16组历史联动</x:v>
      </x:c>
    </x:row>
    <x:row r="10" ht="55" customHeight="1">
      <x:c r="A10" s="24" t="str">
        <x:v>S05</x:v>
      </x:c>
      <x:c r="B10" s="24" t="str">
        <x:v>P05 + P06</x:v>
      </x:c>
      <x:c r="C10" s="24" t="str">
        <x:v>末息轮芯 + 满月枪歌</x:v>
      </x:c>
      <x:c r="D10" s="24" t="str">
        <x:v>待重设计</x:v>
      </x:c>
      <x:c r="E10" s="24" t="str">
        <x:v>满血时0%时间停止、低血时+35%伤害不能同时触发；原‘变光刃’配方失效，待设计新共鸣。</x:v>
      </x:c>
      <x:c r="F10" s="24" t="str">
        <x:v>同一HP状态只出一种波；内CD保留2秒</x:v>
      </x:c>
      <x:c r="G10" s="24" t="str">
        <x:v>P2</x:v>
      </x:c>
      <x:c r="H10" s="24" t="str">
        <x:v>联动输入独立按攻击包/地图实例去重，未经过实战验收</x:v>
      </x:c>
      <x:c r="I10" s="24" t="str">
        <x:v>V4 16组历史联动</x:v>
      </x:c>
    </x:row>
    <x:row r="11" ht="55" customHeight="1">
      <x:c r="A11" s="24" t="str">
        <x:v>S06</x:v>
      </x:c>
      <x:c r="B11" s="24" t="str">
        <x:v>P12 + G01</x:v>
      </x:c>
      <x:c r="C11" s="24" t="str">
        <x:v>刃影回纹 + 微核回响</x:v>
      </x:c>
      <x:c r="D11" s="24" t="str">
        <x:v>有效但效果需实测</x:v>
      </x:c>
      <x:c r="E11" s="24" t="str">
        <x:v>反冲引爆：尾迹擦过带奇点印记的敌人也可引爆印记</x:v>
      </x:c>
      <x:c r="F11" s="24" t="str">
        <x:v>引爆共用原目标6秒冷却；不增反冲距离</x:v>
      </x:c>
      <x:c r="G11" s="24" t="str">
        <x:v>P2</x:v>
      </x:c>
      <x:c r="H11" s="24" t="str">
        <x:v>联动输入独立按攻击包/地图实例去重，未经过实战验收</x:v>
      </x:c>
      <x:c r="I11" s="24" t="str">
        <x:v>V4 16组历史联动</x:v>
      </x:c>
    </x:row>
    <x:row r="12" ht="55" customHeight="1">
      <x:c r="A12" s="24" t="str">
        <x:v>S07</x:v>
      </x:c>
      <x:c r="B12" s="24" t="str">
        <x:v>B16 + B01</x:v>
      </x:c>
      <x:c r="C12" s="24" t="str">
        <x:v>裂纹钱袋 + 拾铃磁盘</x:v>
      </x:c>
      <x:c r="D12" s="24" t="str">
        <x:v>有效但效果需实测</x:v>
      </x:c>
      <x:c r="E12" s="24" t="str">
        <x:v>贪婪回巢：额外产出的金币先沿弧线盘旋再磁吸归来</x:v>
      </x:c>
      <x:c r="F12" s="24" t="str">
        <x:v>只是视觉+拾取方式，不可复制金币；总量16</x:v>
      </x:c>
      <x:c r="G12" s="24" t="str">
        <x:v>P1</x:v>
      </x:c>
      <x:c r="H12" s="24" t="str">
        <x:v>联动输入独立按攻击包/地图实例去重，未经过实战验收</x:v>
      </x:c>
      <x:c r="I12" s="24" t="str">
        <x:v>V4 16组历史联动</x:v>
      </x:c>
    </x:row>
    <x:row r="13" ht="55" customHeight="1">
      <x:c r="A13" s="24" t="str">
        <x:v>S08</x:v>
      </x:c>
      <x:c r="B13" s="24" t="str">
        <x:v>G06 + P29</x:v>
      </x:c>
      <x:c r="C13" s="24" t="str">
        <x:v>千鸣钟冠 + 雷丝引线</x:v>
      </x:c>
      <x:c r="D13" s="24" t="str">
        <x:v>待重设计</x:v>
      </x:c>
      <x:c r="E13" s="24" t="str">
        <x:v>千鸣钟冠和雷丝引线均为命中连锁；同攻击包只能各触发一次，避免电链相互递归。</x:v>
      </x:c>
      <x:c r="F13" s="24" t="str">
        <x:v>最多3副伤目标；电链不递归</x:v>
      </x:c>
      <x:c r="G13" s="24" t="str">
        <x:v>P3</x:v>
      </x:c>
      <x:c r="H13" s="24" t="str">
        <x:v>联动输入独立按攻击包/地图实例去重，未经过实战验收</x:v>
      </x:c>
      <x:c r="I13" s="24" t="str">
        <x:v>V4 16组历史联动</x:v>
      </x:c>
    </x:row>
    <x:row r="14" ht="55" customHeight="1">
      <x:c r="A14" s="24" t="str">
        <x:v>S09</x:v>
      </x:c>
      <x:c r="B14" s="24" t="str">
        <x:v>P16 + B13</x:v>
      </x:c>
      <x:c r="C14" s="24" t="str">
        <x:v>循时梦盾 + 晨露护片</x:v>
      </x:c>
      <x:c r="D14" s="24" t="str">
        <x:v>有效但效果需实测</x:v>
      </x:c>
      <x:c r="E14" s="24" t="str">
        <x:v>晨盾：有地图护盾时梦盾外观扩大，拦截CD-10%</x:v>
      </x:c>
      <x:c r="F14" s="24" t="str">
        <x:v>不多加无敌/护盾；按同一map防刷</x:v>
      </x:c>
      <x:c r="G14" s="24" t="str">
        <x:v>P3</x:v>
      </x:c>
      <x:c r="H14" s="24" t="str">
        <x:v>联动输入独立按攻击包/地图实例去重，未经过实战验收</x:v>
      </x:c>
      <x:c r="I14" s="24" t="str">
        <x:v>V4 16组历史联动</x:v>
      </x:c>
    </x:row>
    <x:row r="15" ht="55" customHeight="1">
      <x:c r="A15" s="24" t="str">
        <x:v>S10</x:v>
      </x:c>
      <x:c r="B15" s="24" t="str">
        <x:v>G07 + P02</x:v>
      </x:c>
      <x:c r="C15" s="24" t="str">
        <x:v>王钟残辉 + 共鸣整流器</x:v>
      </x:c>
      <x:c r="D15" s="24" t="str">
        <x:v>有效但效果需实测</x:v>
      </x:c>
      <x:c r="E15" s="24" t="str">
        <x:v>节拍节制：脱战每图首次回收5点共鸣，额外蓄成下一次主动技能的5点耗能抵扣并显示钟摆提示</x:v>
      </x:c>
      <x:c r="F15" s="24" t="str">
        <x:v>下次主动技能共鸣实际消耗最多额外省5，回收总额20不提升，不能在暂停刷</x:v>
      </x:c>
      <x:c r="G15" s="24" t="str">
        <x:v>P3</x:v>
      </x:c>
      <x:c r="H15" s="24" t="str">
        <x:v>联动输入独立按攻击包/地图实例去重，未经过实战验收</x:v>
      </x:c>
      <x:c r="I15" s="24" t="str">
        <x:v>V4 16组历史联动</x:v>
      </x:c>
    </x:row>
    <x:row r="16" ht="55" customHeight="1">
      <x:c r="A16" s="24" t="str">
        <x:v>S11</x:v>
      </x:c>
      <x:c r="B16" s="24" t="str">
        <x:v>G13 + P39</x:v>
      </x:c>
      <x:c r="C16" s="24" t="str">
        <x:v>已删除道具 + 盗贼旧誓</x:v>
      </x:c>
      <x:c r="D16" s="24" t="str">
        <x:v>失效：涉及已删除道具</x:v>
      </x:c>
      <x:c r="E16" s="24" t="str">
        <x:v>原配方已失效；不放入正式联动池。涉及删除ID：G13</x:v>
      </x:c>
      <x:c r="F16" s="24" t="str">
        <x:v>不使用未到账掉落作为消费；经济日志稳定</x:v>
      </x:c>
      <x:c r="G16" s="24" t="str">
        <x:v>P3</x:v>
      </x:c>
      <x:c r="H16" s="24" t="str">
        <x:v>联动输入独立按攻击包/地图实例去重，未经过实战验收</x:v>
      </x:c>
      <x:c r="I16" s="24" t="str">
        <x:v>V4 16组历史联动</x:v>
      </x:c>
    </x:row>
    <x:row r="17" ht="55" customHeight="1">
      <x:c r="A17" s="24" t="str">
        <x:v>S12</x:v>
      </x:c>
      <x:c r="B17" s="24" t="str">
        <x:v>G19 + G08</x:v>
      </x:c>
      <x:c r="C17" s="24" t="str">
        <x:v>灰铃侍钟机 + 空白钟芯</x:v>
      </x:c>
      <x:c r="D17" s="24" t="str">
        <x:v>有效但效果需实测</x:v>
      </x:c>
      <x:c r="E17" s="24" t="str">
        <x:v>成长型灰铃侍钟机优先攻击空白钟芯指定的标记目标；精英成长须有独立账本。</x:v>
      </x:c>
      <x:c r="F17" s="24" t="str">
        <x:v>最多2次升级；卸装不刷成长</x:v>
      </x:c>
      <x:c r="G17" s="24" t="str">
        <x:v>P3</x:v>
      </x:c>
      <x:c r="H17" s="24" t="str">
        <x:v>联动输入独立按攻击包/地图实例去重，未经过实战验收</x:v>
      </x:c>
      <x:c r="I17" s="24" t="str">
        <x:v>V4 16组历史联动</x:v>
      </x:c>
    </x:row>
    <x:row r="18" ht="55" customHeight="1">
      <x:c r="A18" s="24" t="str">
        <x:v>S13</x:v>
      </x:c>
      <x:c r="B18" s="24" t="str">
        <x:v>P24 + G15</x:v>
      </x:c>
      <x:c r="C18" s="24" t="str">
        <x:v>回环飞轮 + 双响投架</x:v>
      </x:c>
      <x:c r="D18" s="24" t="str">
        <x:v>有效但效果需实测</x:v>
      </x:c>
      <x:c r="E18" s="24" t="str">
        <x:v>双向时轮：同一次施放出现两枚相反轨迹的飞轮</x:v>
      </x:c>
      <x:c r="F18" s="24" t="str">
        <x:v>总伤害仅×1.2、同一技能CD，不额外扣共鸣</x:v>
      </x:c>
      <x:c r="G18" s="24" t="str">
        <x:v>P3</x:v>
      </x:c>
      <x:c r="H18" s="24" t="str">
        <x:v>联动输入独立按攻击包/地图实例去重，未经过实战验收</x:v>
      </x:c>
      <x:c r="I18" s="24" t="str">
        <x:v>V4 16组历史联动</x:v>
      </x:c>
    </x:row>
    <x:row r="19" ht="55" customHeight="1">
      <x:c r="A19" s="24" t="str">
        <x:v>S14</x:v>
      </x:c>
      <x:c r="B19" s="24" t="str">
        <x:v>B22 + P25</x:v>
      </x:c>
      <x:c r="C19" s="24" t="str">
        <x:v>扩震钟环 + 落地针雷</x:v>
      </x:c>
      <x:c r="D19" s="24" t="str">
        <x:v>待重设计</x:v>
      </x:c>
      <x:c r="E19" s="24" t="str">
        <x:v>扩震钟环当前只作用炸弹武器爆炸，落地针雷是否认定为炸弹族需要配置化并单独验收。</x:v>
      </x:c>
      <x:c r="F19" s="24" t="str">
        <x:v>针雷必须真地表合法放置，不能被磁雷搬走</x:v>
      </x:c>
      <x:c r="G19" s="24" t="str">
        <x:v>P3</x:v>
      </x:c>
      <x:c r="H19" s="24" t="str">
        <x:v>联动输入独立按攻击包/地图实例去重，未经过实战验收</x:v>
      </x:c>
      <x:c r="I19" s="24" t="str">
        <x:v>V4 16组历史联动</x:v>
      </x:c>
    </x:row>
    <x:row r="20" ht="55" customHeight="1">
      <x:c r="A20" s="24" t="str">
        <x:v>S15</x:v>
      </x:c>
      <x:c r="B20" s="24" t="str">
        <x:v>B17 + B14</x:v>
      </x:c>
      <x:c r="C20" s="24" t="str">
        <x:v>裂纹强击栓 + 苦痛铃歌</x:v>
      </x:c>
      <x:c r="D20" s="24" t="str">
        <x:v>有效但效果需实测</x:v>
      </x:c>
      <x:c r="E20" s="24" t="str">
        <x:v>裂纹强击栓第三次受伤破碎时附加一次明确铃音；额外战斗共鸣需去重且死亡优先。</x:v>
      </x:c>
      <x:c r="F20" s="24" t="str">
        <x:v>每件拥有实例整个本局仅一次；修好后不再给</x:v>
      </x:c>
      <x:c r="G20" s="24" t="str">
        <x:v>P2</x:v>
      </x:c>
      <x:c r="H20" s="24" t="str">
        <x:v>联动输入独立按攻击包/地图实例去重，未经过实战验收</x:v>
      </x:c>
      <x:c r="I20" s="24" t="str">
        <x:v>V4 16组历史联动</x:v>
      </x:c>
    </x:row>
    <x:row r="21" ht="55" customHeight="1">
      <x:c r="A21" s="24" t="str">
        <x:v>S16</x:v>
      </x:c>
      <x:c r="B21" s="24" t="str">
        <x:v>B25 + G01</x:v>
      </x:c>
      <x:c r="C21" s="24" t="str">
        <x:v>已删除道具 + 微核回响</x:v>
      </x:c>
      <x:c r="D21" s="24" t="str">
        <x:v>失效：涉及已删除道具</x:v>
      </x:c>
      <x:c r="E21" s="24" t="str">
        <x:v>原配方已失效；不放入正式联动池。涉及删除ID：B25</x:v>
      </x:c>
      <x:c r="F21" s="24" t="str">
        <x:v>仍须后续不同attack_id才能引爆；同目标冷却不变</x:v>
      </x:c>
      <x:c r="G21" s="24" t="str">
        <x:v>P2</x:v>
      </x:c>
      <x:c r="H21" s="24" t="str">
        <x:v>联动输入独立按攻击包/地图实例去重，未经过实战验收</x:v>
      </x:c>
      <x:c r="I21" s="24" t="str">
        <x:v>V4 16组历史联动</x:v>
      </x:c>
    </x:row>
  </x:sheetData>
  <x:mergeCells>
    <x:mergeCell ref="A1:I1"/>
    <x:mergeCell ref="A2:I2"/>
  </x:mergeCells>
  <x:conditionalFormatting sqref="D6:D21">
    <x:cfRule type="expression" dxfId="4" priority="1">
      <x:formula>$D6="失效：涉及已删除道具"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a03a90b45a4df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27" hidden="0" customWidth="1"/>
    <x:col min="3" max="3" width="20" hidden="0" customWidth="1"/>
    <x:col min="4" max="4" width="21" hidden="0" customWidth="1"/>
    <x:col min="5" max="5" width="75" hidden="0" customWidth="1"/>
    <x:col min="6" max="6" width="44" hidden="0" customWidth="1"/>
  </x:cols>
  <x:sheetData>
    <x:row r="1" ht="33" customHeight="1">
      <x:c r="A1" s="4" t="str">
        <x:v>失序之钟 | 经济与购买力平衡模型</x:v>
      </x:c>
      <x:c r="B1" s="4"/>
      <x:c r="C1" s="4"/>
      <x:c r="D1" s="4"/>
      <x:c r="E1" s="4"/>
      <x:c r="F1" s="4"/>
    </x:row>
    <x:row r="2" ht="25" customHeight="1">
      <x:c r="A2" s="9" t="str">
        <x:v>当前两张平原 + 未来多地区独立；均为方案测算，真实获得数量取决于路线/拾取/宝箱选择；商店目前仍是演示价5金币</x:v>
      </x:c>
      <x:c r="B2" s="9"/>
      <x:c r="C2" s="9"/>
      <x:c r="D2" s="9"/>
      <x:c r="E2" s="9"/>
      <x:c r="F2" s="9"/>
    </x:row>
    <x:row r="3" ht="10" customHeight="1"/>
    <x:row r="5" ht="31" customHeight="1">
      <x:c r="A5" s="19" t="str">
        <x:v>项目</x:v>
      </x:c>
      <x:c r="B5" s="19" t="str">
        <x:v>数值（可编辑/公式）</x:v>
      </x:c>
      <x:c r="C5" s="19" t="str">
        <x:v>单位</x:v>
      </x:c>
      <x:c r="D5" s="19" t="str">
        <x:v>性质</x:v>
      </x:c>
      <x:c r="E5" s="19" t="str">
        <x:v>测算解释</x:v>
      </x:c>
      <x:c r="F5" s="19" t="str">
        <x:v>来源/校验</x:v>
      </x:c>
    </x:row>
    <x:row r="6" ht="31" customHeight="1">
      <x:c r="A6" s="24" t="str">
        <x:v>正式平原地图数</x:v>
      </x:c>
      <x:c r="B6" s="24" t="n">
        <x:v>2</x:v>
      </x:c>
      <x:c r="C6" s="24" t="str">
        <x:v>张</x:v>
      </x:c>
      <x:c r="D6" s="24" t="str">
        <x:v>代码事实</x:v>
      </x:c>
      <x:c r="E6" s="24" t="str">
        <x:v>首地区当前两图流程；未来会增加地区</x:v>
      </x:c>
      <x:c r="F6" s="24" t="str">
        <x:v>main / PlainsRegionCampaign</x:v>
      </x:c>
    </x:row>
    <x:row r="7" ht="31" customHeight="1">
      <x:c r="A7" s="24" t="str">
        <x:v>每图普通金币预算</x:v>
      </x:c>
      <x:c r="B7" s="24" t="n">
        <x:v>24</x:v>
      </x:c>
      <x:c r="C7" s="24" t="str">
        <x:v>金币</x:v>
      </x:c>
      <x:c r="D7" s="24" t="str">
        <x:v>代码预算</x:v>
      </x:c>
      <x:c r="E7" s="24" t="str">
        <x:v>不是一定能全部收集；按安全落点散布</x:v>
      </x:c>
      <x:c r="F7" s="24" t="str">
        <x:v>scripts/generation/plains_region_generator.gd</x:v>
      </x:c>
    </x:row>
    <x:row r="8" ht="31" customHeight="1">
      <x:c r="A8" s="24" t="str">
        <x:v>每图敌人掉落金币封顶</x:v>
      </x:c>
      <x:c r="B8" s="24" t="n">
        <x:v>12</x:v>
      </x:c>
      <x:c r="C8" s="24" t="str">
        <x:v>金币</x:v>
      </x:c>
      <x:c r="D8" s="24" t="str">
        <x:v>代码预算</x:v>
      </x:c>
      <x:c r="E8" s="24" t="str">
        <x:v>实际敌人击杀与掉落权重会降低结果</x:v>
      </x:c>
      <x:c r="F8" s="24" t="str">
        <x:v>scripts/generation/plains_region_generator.gd</x:v>
      </x:c>
    </x:row>
    <x:row r="9" ht="31" customHeight="1">
      <x:c r="A9" s="24" t="str">
        <x:v>每图中级宝箱数</x:v>
      </x:c>
      <x:c r="B9" s="24" t="n">
        <x:v>2</x:v>
      </x:c>
      <x:c r="C9" s="24" t="str">
        <x:v>个</x:v>
      </x:c>
      <x:c r="D9" s="24" t="str">
        <x:v>代码预算</x:v>
      </x:c>
      <x:c r="E9" s="24" t="str">
        <x:v>每图两个中级奖励位</x:v>
      </x:c>
      <x:c r="F9" s="24" t="str">
        <x:v>plains_region_generator.gd</x:v>
      </x:c>
    </x:row>
    <x:row r="10" ht="31" customHeight="1">
      <x:c r="A10" s="24" t="str">
        <x:v>中级箱选择道具时附赠金币</x:v>
      </x:c>
      <x:c r="B10" s="24" t="n">
        <x:v>8</x:v>
      </x:c>
      <x:c r="C10" s="24" t="str">
        <x:v>金币/箱</x:v>
      </x:c>
      <x:c r="D10" s="24" t="str">
        <x:v>代码预算</x:v>
      </x:c>
      <x:c r="E10" s="24" t="str">
        <x:v>领取道具时附赠的基础金币</x:v>
      </x:c>
      <x:c r="F10" s="24" t="str">
        <x:v>plains_region_generator.gd</x:v>
      </x:c>
    </x:row>
    <x:row r="11" ht="31" customHeight="1">
      <x:c r="A11" s="24" t="str">
        <x:v>高级箱选道具附赠金币</x:v>
      </x:c>
      <x:c r="B11" s="24" t="n">
        <x:v>18</x:v>
      </x:c>
      <x:c r="C11" s="24" t="str">
        <x:v>金币/箱</x:v>
      </x:c>
      <x:c r="D11" s="24" t="str">
        <x:v>代码预算</x:v>
      </x:c>
      <x:c r="E11" s="24" t="str">
        <x:v>只有成功获得对应物品才结算</x:v>
      </x:c>
      <x:c r="F11" s="24" t="str">
        <x:v>plains_region_generator.gd</x:v>
      </x:c>
    </x:row>
    <x:row r="12" ht="31" customHeight="1">
      <x:c r="A12" s="24" t="str">
        <x:v>顶级箱选道具附赠金币</x:v>
      </x:c>
      <x:c r="B12" s="24" t="n">
        <x:v>30</x:v>
      </x:c>
      <x:c r="C12" s="24" t="str">
        <x:v>金币/箱</x:v>
      </x:c>
      <x:c r="D12" s="24" t="str">
        <x:v>代码预算</x:v>
      </x:c>
      <x:c r="E12" s="24" t="str">
        <x:v>该分支需完成高级跳跃挑战</x:v>
      </x:c>
      <x:c r="F12" s="24" t="str">
        <x:v>plains_region_generator.gd</x:v>
      </x:c>
    </x:row>
    <x:row r="13" ht="31" customHeight="1">
      <x:c r="A13" s="24" t="str">
        <x:v>首次Boss通过进入下一图补金币</x:v>
      </x:c>
      <x:c r="B13" s="24" t="n">
        <x:v>12</x:v>
      </x:c>
      <x:c r="C13" s="24" t="str">
        <x:v>金币</x:v>
      </x:c>
      <x:c r="D13" s="24" t="str">
        <x:v>代码预算</x:v>
      </x:c>
      <x:c r="E13" s="24" t="str">
        <x:v>只发生一次</x:v>
      </x:c>
      <x:c r="F13" s="24" t="str">
        <x:v>docs/plains_two_maps_fog.md</x:v>
      </x:c>
    </x:row>
    <x:row r="14" ht="31" customHeight="1">
      <x:c r="A14" s="24" t="str">
        <x:v>两图全拿道具+附赠金币理论上界</x:v>
      </x:c>
      <x:c r="B14" s="24" t="n">
        <x:f>B6*(B7+B8+B9*B10+B11+B12)+B13</x:f>
        <x:v>212</x:v>
      </x:c>
      <x:c r="C14" s="24" t="str">
        <x:v>金币</x:v>
      </x:c>
      <x:c r="D14" s="24" t="str">
        <x:v>公式/非保底</x:v>
      </x:c>
      <x:c r="E14" s="24" t="str">
        <x:v>含每图普通/敌人上界和4处宝箱道具附赠，非平均收入</x:v>
      </x:c>
      <x:c r="F14" s="24" t="n">
        <x:f>B6*(B7+B8+B9*B10+B11+B12)+B13</x:f>
        <x:v>212</x:v>
      </x:c>
    </x:row>
    <x:row r="15" ht="31" customHeight="1">
      <x:c r="A15" s="24" t="str">
        <x:v>两图所有资源箱均选金币理论上界</x:v>
      </x:c>
      <x:c r="B15" s="24" t="n">
        <x:f>B6*(B7+B8+2*16+36+54)+B13</x:f>
        <x:v>328</x:v>
      </x:c>
      <x:c r="C15" s="24" t="str">
        <x:v>金币</x:v>
      </x:c>
      <x:c r="D15" s="24" t="str">
        <x:v>公式/非保底</x:v>
      </x:c>
      <x:c r="E15" s="24" t="str">
        <x:v>资源路线最大金币：每图2×16+36+54，再加散落及掉落上界</x:v>
      </x:c>
      <x:c r="F15" s="24" t="n">
        <x:f>B6*(B7+B8+2*16+36+54)+B13</x:f>
        <x:v>328</x:v>
      </x:c>
    </x:row>
    <x:row r="16" ht="31" customHeight="1">
      <x:c r="A16" s="24" t="str">
        <x:v>普通金币实际拾取率假设</x:v>
      </x:c>
      <x:c r="B16" s="26" t="n">
        <x:v>0.7</x:v>
      </x:c>
      <x:c r="C16" s="24" t="str">
        <x:v>比例</x:v>
      </x:c>
      <x:c r="D16" s="24" t="str">
        <x:v>假设值</x:v>
      </x:c>
      <x:c r="E16" s="24" t="str">
        <x:v>请按真实试玩与种子抽样后修订；目前没有玩家分布证据</x:v>
      </x:c>
      <x:c r="F16" s="24" t="str">
        <x:v>人工候选</x:v>
      </x:c>
    </x:row>
    <x:row r="17" ht="31" customHeight="1">
      <x:c r="A17" s="24" t="str">
        <x:v>金币掉落实现率假设</x:v>
      </x:c>
      <x:c r="B17" s="26" t="n">
        <x:v>0.6</x:v>
      </x:c>
      <x:c r="C17" s="24" t="str">
        <x:v>比例</x:v>
      </x:c>
      <x:c r="D17" s="24" t="str">
        <x:v>假设值</x:v>
      </x:c>
      <x:c r="E17" s="24" t="str">
        <x:v>考虑不全清、掉落有其他种类</x:v>
      </x:c>
      <x:c r="F17" s="24" t="str">
        <x:v>人工候选</x:v>
      </x:c>
    </x:row>
    <x:row r="18" ht="31" customHeight="1">
      <x:c r="A18" s="24" t="str">
        <x:v>获得附赠金币箱占比假设</x:v>
      </x:c>
      <x:c r="B18" s="26" t="n">
        <x:v>0.7</x:v>
      </x:c>
      <x:c r="C18" s="24" t="str">
        <x:v>比例</x:v>
      </x:c>
      <x:c r="D18" s="24" t="str">
        <x:v>假设值</x:v>
      </x:c>
      <x:c r="E18" s="24" t="str">
        <x:v>按探索路径及资源与道具二选一估计</x:v>
      </x:c>
      <x:c r="F18" s="24" t="str">
        <x:v>人工候选</x:v>
      </x:c>
    </x:row>
    <x:row r="19" ht="31" customHeight="1">
      <x:c r="A19" s="24" t="str">
        <x:v>两图预计金币获取(示意)</x:v>
      </x:c>
      <x:c r="B19" s="24" t="n">
        <x:f>ROUND(B6*(B7*B16+B8*B17+(B9*B10+B11+B12)*B18)+B13,0)</x:f>
        <x:v>150</x:v>
      </x:c>
      <x:c r="C19" s="24" t="str">
        <x:v>金币</x:v>
      </x:c>
      <x:c r="D19" s="24" t="str">
        <x:v>公式/待实测</x:v>
      </x:c>
      <x:c r="E19" s="24" t="str">
        <x:v>非保底非均值结论，仅用于初步审查价格量级</x:v>
      </x:c>
      <x:c r="F19" s="24" t="n">
        <x:f>ROUND(B6*(B7*B16+B8*B17+(B9*B10+B11+B12)*B18)+B13,0)</x:f>
        <x:v>150</x:v>
      </x:c>
    </x:row>
    <x:row r="20" ht="31" customHeight="1">
      <x:c r="A20" s="24" t="str">
        <x:v>现有演示商店价格</x:v>
      </x:c>
      <x:c r="B20" s="24" t="n">
        <x:v>5</x:v>
      </x:c>
      <x:c r="C20" s="24" t="str">
        <x:v>金币</x:v>
      </x:c>
      <x:c r="D20" s="24" t="str">
        <x:v>已实装fixture</x:v>
      </x:c>
      <x:c r="E20" s="24" t="str">
        <x:v>不是正式价格策略；全道具价格都属待验证方案</x:v>
      </x:c>
      <x:c r="F20" s="24" t="str">
        <x:v>scripts/generation/plains_region_generator.gd</x:v>
      </x:c>
    </x:row>
    <x:row r="21" ht="31" customHeight="1">
      <x:c r="A21" s="24" t="str">
        <x:v>初始齿轮容量(设计)</x:v>
      </x:c>
      <x:c r="B21" s="24" t="n">
        <x:v>8</x:v>
      </x:c>
      <x:c r="C21" s="24" t="str">
        <x:v>槽</x:v>
      </x:c>
      <x:c r="D21" s="24" t="str">
        <x:v>计划/未实装</x:v>
      </x:c>
      <x:c r="E21" s="24" t="str">
        <x:v>所有装备负荷独立于蓝紫金稀有度</x:v>
      </x:c>
      <x:c r="F21" s="24" t="str">
        <x:v>装备方案</x:v>
      </x:c>
    </x:row>
    <x:row r="22" ht="31" customHeight="1">
      <x:c r="A22" s="24" t="str">
        <x:v>最高齿轮容量(设计)</x:v>
      </x:c>
      <x:c r="B22" s="24" t="n">
        <x:v>14</x:v>
      </x:c>
      <x:c r="C22" s="24" t="str">
        <x:v>槽</x:v>
      </x:c>
      <x:c r="D22" s="24" t="str">
        <x:v>计划/未实装</x:v>
      </x:c>
      <x:c r="E22" s="24" t="str">
        <x:v>可动态增2槽，具体与经济平衡联调</x:v>
      </x:c>
      <x:c r="F22" s="24" t="str">
        <x:v>装备方案</x:v>
      </x:c>
    </x:row>
    <x:row r="23" ht="31" customHeight="1">
      <x:c r="A23" s="24" t="str">
        <x:v>第一次+2齿轮容量建议费</x:v>
      </x:c>
      <x:c r="B23" s="24" t="n">
        <x:v>35</x:v>
      </x:c>
      <x:c r="C23" s="24" t="str">
        <x:v>金币</x:v>
      </x:c>
      <x:c r="D23" s="24" t="str">
        <x:v>V5建议</x:v>
      </x:c>
      <x:c r="E23" s="24" t="str">
        <x:v>当前两图早中期能买到，但会挤压道具购物</x:v>
      </x:c>
      <x:c r="F23" s="24" t="str">
        <x:v>新经济方案</x:v>
      </x:c>
    </x:row>
    <x:row r="24" ht="31" customHeight="1">
      <x:c r="A24" s="24" t="str">
        <x:v>第二次+2齿轮容量建议费</x:v>
      </x:c>
      <x:c r="B24" s="24" t="n">
        <x:v>55</x:v>
      </x:c>
      <x:c r="C24" s="24" t="str">
        <x:v>金币</x:v>
      </x:c>
      <x:c r="D24" s="24" t="str">
        <x:v>V5建议</x:v>
      </x:c>
      <x:c r="E24" s="24" t="str">
        <x:v>更偏多地区构筑，留给玩家策略选择</x:v>
      </x:c>
      <x:c r="F24" s="24" t="str">
        <x:v>新经济方案</x:v>
      </x:c>
    </x:row>
    <x:row r="25" ht="31" customHeight="1">
      <x:c r="A25" s="24" t="str">
        <x:v>第三次+2齿轮容量建议费</x:v>
      </x:c>
      <x:c r="B25" s="24" t="n">
        <x:v>80</x:v>
      </x:c>
      <x:c r="C25" s="24" t="str">
        <x:v>金币</x:v>
      </x:c>
      <x:c r="D25" s="24" t="str">
        <x:v>V5建议</x:v>
      </x:c>
      <x:c r="E25" s="24" t="str">
        <x:v>正式多地区目标，短Demo不保证买得起</x:v>
      </x:c>
      <x:c r="F25" s="24" t="str">
        <x:v>新经济方案</x:v>
      </x:c>
    </x:row>
    <x:row r="26" ht="31" customHeight="1">
      <x:c r="A26" s="24" t="str">
        <x:v>裂纹钱袋2图最大新增金币</x:v>
      </x:c>
      <x:c r="B26" s="24" t="n">
        <x:f>B6*8*1</x:f>
        <x:v>16</x:v>
      </x:c>
      <x:c r="C26" s="24" t="str">
        <x:v>金币</x:v>
      </x:c>
      <x:c r="D26" s="24" t="str">
        <x:v>公式/不含损坏</x:v>
      </x:c>
      <x:c r="E26" s="24" t="str">
        <x:v>即使完美拿满，额外收益最多16金</x:v>
      </x:c>
      <x:c r="F26" s="24" t="n">
        <x:f>B6*8*1</x:f>
        <x:v>16</x:v>
      </x:c>
    </x:row>
    <x:row r="27" ht="31" customHeight="1">
      <x:c r="A27" s="24" t="str">
        <x:v>不朽钱袋2图最大新增金币</x:v>
      </x:c>
      <x:c r="B27" s="24" t="n">
        <x:f>B6*6*2</x:f>
        <x:v>24</x:v>
      </x:c>
      <x:c r="C27" s="24" t="str">
        <x:v>金币</x:v>
      </x:c>
      <x:c r="D27" s="24" t="str">
        <x:v>公式/不含错过时机</x:v>
      </x:c>
      <x:c r="E27" s="24" t="str">
        <x:v>最高24金币，若花63金币买入两图内无法回本</x:v>
      </x:c>
      <x:c r="F27" s="24" t="n">
        <x:f>B6*6*2</x:f>
        <x:v>24</x:v>
      </x:c>
    </x:row>
    <x:row r="28" ht="31" customHeight="1">
      <x:c r="A28" s="24" t="str">
        <x:v>盗贼旧誓两图额外收入上界</x:v>
      </x:c>
      <x:c r="B28" s="24" t="n">
        <x:f>B6*B8*0.25</x:f>
        <x:v>6</x:v>
      </x:c>
      <x:c r="C28" s="24" t="str">
        <x:v>金币</x:v>
      </x:c>
      <x:c r="D28" s="24" t="str">
        <x:v>公式/攻击掉落上界</x:v>
      </x:c>
      <x:c r="E28" s="24" t="str">
        <x:v>最多仅+6金；短Demo建议作为奖励，不作为理财购买</x:v>
      </x:c>
      <x:c r="F28" s="24" t="n">
        <x:f>B6*B8*0.25</x:f>
        <x:v>6</x:v>
      </x:c>
    </x:row>
    <x:row r="29" ht="31" customHeight="1">
      <x:c r="A29" s="24" t="str">
        <x:v>蓝色单件建议消费区间下限</x:v>
      </x:c>
      <x:c r="B29" s="24" t="n">
        <x:v>20</x:v>
      </x:c>
      <x:c r="C29" s="24" t="str">
        <x:v>金币</x:v>
      </x:c>
      <x:c r="D29" s="24" t="str">
        <x:v>V5建议</x:v>
      </x:c>
      <x:c r="E29" s="24" t="str">
        <x:v>按当前两图框架缩减原30~40价位</x:v>
      </x:c>
      <x:c r="F29" s="24" t="str">
        <x:v>策划建议</x:v>
      </x:c>
    </x:row>
    <x:row r="30" ht="31" customHeight="1">
      <x:c r="A30" s="24" t="str">
        <x:v>蓝色单件建议消费区间上限</x:v>
      </x:c>
      <x:c r="B30" s="24" t="n">
        <x:v>40</x:v>
      </x:c>
      <x:c r="C30" s="24" t="str">
        <x:v>金币</x:v>
      </x:c>
      <x:c r="D30" s="24" t="str">
        <x:v>V5建议</x:v>
      </x:c>
      <x:c r="E30" s="24" t="str">
        <x:v>高效成长型需重复购买3次，累计成本更高</x:v>
      </x:c>
      <x:c r="F30" s="24" t="str">
        <x:v>策划建议</x:v>
      </x:c>
    </x:row>
    <x:row r="31" ht="31" customHeight="1">
      <x:c r="A31" s="24" t="str">
        <x:v>紫色单件建议消费区间下限</x:v>
      </x:c>
      <x:c r="B31" s="24" t="n">
        <x:v>40</x:v>
      </x:c>
      <x:c r="C31" s="24" t="str">
        <x:v>金币</x:v>
      </x:c>
      <x:c r="D31" s="24" t="str">
        <x:v>V5建议</x:v>
      </x:c>
      <x:c r="E31" s="24" t="str">
        <x:v>附条件、机制差异明显，低效专武需低定价</x:v>
      </x:c>
      <x:c r="F31" s="24" t="str">
        <x:v>策划建议</x:v>
      </x:c>
    </x:row>
    <x:row r="32" ht="31" customHeight="1">
      <x:c r="A32" s="24" t="str">
        <x:v>紫色单件建议消费区间上限</x:v>
      </x:c>
      <x:c r="B32" s="24" t="n">
        <x:v>75</x:v>
      </x:c>
      <x:c r="C32" s="24" t="str">
        <x:v>金币</x:v>
      </x:c>
      <x:c r="D32" s="24" t="str">
        <x:v>V5建议</x:v>
      </x:c>
      <x:c r="E32" s="24" t="str">
        <x:v>昂贵主动防护/强力效果需实际测试</x:v>
      </x:c>
      <x:c r="F32" s="24" t="str">
        <x:v>策划建议</x:v>
      </x:c>
    </x:row>
    <x:row r="33" ht="31" customHeight="1">
      <x:c r="A33" s="24" t="str">
        <x:v>金色单件建议消费区间下限</x:v>
      </x:c>
      <x:c r="B33" s="24" t="n">
        <x:v>60</x:v>
      </x:c>
      <x:c r="C33" s="24" t="str">
        <x:v>金币</x:v>
      </x:c>
      <x:c r="D33" s="24" t="str">
        <x:v>V5建议</x:v>
      </x:c>
      <x:c r="E33" s="24" t="str">
        <x:v>金色并不必然齿轮负荷高，可为1槽</x:v>
      </x:c>
      <x:c r="F33" s="24" t="str">
        <x:v>策划建议</x:v>
      </x:c>
    </x:row>
    <x:row r="34" ht="31" customHeight="1">
      <x:c r="A34" s="24" t="str">
        <x:v>金色单件建议消费区间上限</x:v>
      </x:c>
      <x:c r="B34" s="24" t="n">
        <x:v>100</x:v>
      </x:c>
      <x:c r="C34" s="24" t="str">
        <x:v>金币</x:v>
      </x:c>
      <x:c r="D34" s="24" t="str">
        <x:v>V5建议</x:v>
      </x:c>
      <x:c r="E34" s="24" t="str">
        <x:v>高档商店需要足够可达的金币经济</x:v>
      </x:c>
      <x:c r="F34" s="24" t="str">
        <x:v>策划建议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2d432f6cb734bf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3" hidden="0" customWidth="1"/>
    <x:col min="3" max="3" width="20" hidden="0" customWidth="1"/>
    <x:col min="4" max="4" width="18" hidden="0" customWidth="1"/>
    <x:col min="5" max="5" width="62" hidden="0" customWidth="1"/>
    <x:col min="6" max="6" width="19" hidden="0" customWidth="1"/>
    <x:col min="7" max="7" width="72" hidden="0" customWidth="1"/>
  </x:cols>
  <x:sheetData>
    <x:row r="1" ht="33" customHeight="1">
      <x:c r="A1" s="4" t="str">
        <x:v>失序之钟 | 实装核心参数基线</x:v>
      </x:c>
      <x:c r="B1" s="4"/>
      <x:c r="C1" s="4"/>
      <x:c r="D1" s="4"/>
      <x:c r="E1" s="4"/>
      <x:c r="F1" s="4"/>
      <x:c r="G1" s="4"/>
    </x:row>
    <x:row r="2" ht="25" customHeight="1">
      <x:c r="A2" s="9" t="str">
        <x:v>代码核对基线：2026-10-24 main SHA 26e7f2a445；非仓库实时动态链接。道具属性、世界停时、统一背包仍是设计案</x:v>
      </x:c>
      <x:c r="B2" s="9"/>
      <x:c r="C2" s="9"/>
      <x:c r="D2" s="9"/>
      <x:c r="E2" s="9"/>
      <x:c r="F2" s="9"/>
      <x:c r="G2" s="9"/>
    </x:row>
    <x:row r="3" ht="10" customHeight="1"/>
    <x:row r="5" ht="31" customHeight="1">
      <x:c r="A5" s="19" t="str">
        <x:v>参数域</x:v>
      </x:c>
      <x:c r="B5" s="19" t="str">
        <x:v>参数名称</x:v>
      </x:c>
      <x:c r="C5" s="19" t="str">
        <x:v>正式数值</x:v>
      </x:c>
      <x:c r="D5" s="19" t="str">
        <x:v>单位</x:v>
      </x:c>
      <x:c r="E5" s="19" t="str">
        <x:v>2026-10-24代码位置</x:v>
      </x:c>
      <x:c r="F5" s="19" t="str">
        <x:v>状态</x:v>
      </x:c>
      <x:c r="G5" s="19" t="str">
        <x:v>设计使用方式</x:v>
      </x:c>
    </x:row>
    <x:row r="6" ht="39" customHeight="1">
      <x:c r="A6" s="24" t="str">
        <x:v>人物</x:v>
      </x:c>
      <x:c r="B6" s="24" t="str">
        <x:v>起始最大HP</x:v>
      </x:c>
      <x:c r="C6" s="24" t="n">
        <x:v>5</x:v>
      </x:c>
      <x:c r="D6" s="24" t="str">
        <x:v>HP</x:v>
      </x:c>
      <x:c r="E6" s="24" t="str">
        <x:v>https://github.com/zhipijun1996/gunman-rush/blob/26e7f2a4459623f35613a857da8a75e89daa3e62/resources/actors/prototype_health.tres</x:v>
      </x:c>
      <x:c r="F6" s="24" t="str">
        <x:v>已实装</x:v>
      </x:c>
      <x:c r="G6" s="24" t="str">
        <x:v>5HP为基础，不考虑永久成长等级加成</x:v>
      </x:c>
    </x:row>
    <x:row r="7" ht="39" customHeight="1">
      <x:c r="A7" s="24" t="str">
        <x:v>人物</x:v>
      </x:c>
      <x:c r="B7" s="24" t="str">
        <x:v>基础地速</x:v>
      </x:c>
      <x:c r="C7" s="24" t="n">
        <x:v>260</x:v>
      </x:c>
      <x:c r="D7" s="24" t="str">
        <x:v>世界单位/秒</x:v>
      </x:c>
      <x:c r="E7" s="24" t="str">
        <x:v>https://github.com/zhipijun1996/gunman-rush/blob/26e7f2a4459623f35613a857da8a75e89daa3e62/config/player_tuning.json</x:v>
      </x:c>
      <x:c r="F7" s="24" t="str">
        <x:v>已实装</x:v>
      </x:c>
      <x:c r="G7" s="24" t="str">
        <x:v>移动道具应低幅度</x:v>
      </x:c>
    </x:row>
    <x:row r="8" ht="39" customHeight="1">
      <x:c r="A8" s="24" t="str">
        <x:v>人物</x:v>
      </x:c>
      <x:c r="B8" s="24" t="str">
        <x:v>跳跃次数</x:v>
      </x:c>
      <x:c r="C8" s="24" t="n">
        <x:v>1</x:v>
      </x:c>
      <x:c r="D8" s="24" t="str">
        <x:v>次</x:v>
      </x:c>
      <x:c r="E8" s="24" t="str">
        <x:v>https://github.com/zhipijun1996/gunman-rush/blob/26e7f2a4459623f35613a857da8a75e89daa3e62/config/player_tuning.json</x:v>
      </x:c>
      <x:c r="F8" s="24" t="str">
        <x:v>已实装</x:v>
      </x:c>
      <x:c r="G8" s="24" t="str">
        <x:v>路线资格单独记录</x:v>
      </x:c>
    </x:row>
    <x:row r="9" ht="39" customHeight="1">
      <x:c r="A9" s="24" t="str">
        <x:v>人物</x:v>
      </x:c>
      <x:c r="B9" s="24" t="str">
        <x:v>基础空中射击资格</x:v>
      </x:c>
      <x:c r="C9" s="24" t="n">
        <x:v>1</x:v>
      </x:c>
      <x:c r="D9" s="24" t="str">
        <x:v>次</x:v>
      </x:c>
      <x:c r="E9" s="24" t="str">
        <x:v>https://github.com/zhipijun1996/gunman-rush/blob/26e7f2a4459623f35613a857da8a75e89daa3e62/config/player_tuning.json</x:v>
      </x:c>
      <x:c r="F9" s="24" t="str">
        <x:v>已实装</x:v>
      </x:c>
      <x:c r="G9" s="24" t="str">
        <x:v>主弹有效命中/落地补弹</x:v>
      </x:c>
    </x:row>
    <x:row r="10" ht="39" customHeight="1">
      <x:c r="A10" s="24" t="str">
        <x:v>人物</x:v>
      </x:c>
      <x:c r="B10" s="24" t="str">
        <x:v>基础伤害乘数</x:v>
      </x:c>
      <x:c r="C10" s="24" t="n">
        <x:v>1</x:v>
      </x:c>
      <x:c r="D10" s="24" t="str">
        <x:v>D</x:v>
      </x:c>
      <x:c r="E10" s="24" t="str">
        <x:v>https://github.com/zhipijun1996/gunman-rush/blob/26e7f2a4459623f35613a857da8a75e89daa3e62/config/player_tuning.json</x:v>
      </x:c>
      <x:c r="F10" s="24" t="str">
        <x:v>已实装</x:v>
      </x:c>
      <x:c r="G10" s="24" t="str">
        <x:v>以当前武器Definition.damage为基础</x:v>
      </x:c>
    </x:row>
    <x:row r="11" ht="39" customHeight="1">
      <x:c r="A11" s="24" t="str">
        <x:v>射击</x:v>
      </x:c>
      <x:c r="B11" s="24" t="str">
        <x:v>最短常规冷却</x:v>
      </x:c>
      <x:c r="C11" s="24" t="n">
        <x:v>0.25</x:v>
      </x:c>
      <x:c r="D11" s="24" t="str">
        <x:v>秒</x:v>
      </x:c>
      <x:c r="E11" s="24" t="str">
        <x:v>https://github.com/zhipijun1996/gunman-rush/blob/26e7f2a4459623f35613a857da8a75e89daa3e62/config/player_tuning.json</x:v>
      </x:c>
      <x:c r="F11" s="24" t="str">
        <x:v>已实装</x:v>
      </x:c>
      <x:c r="G11" s="24" t="str">
        <x:v>机关枪内部间隔另读武器Definition</x:v>
      </x:c>
    </x:row>
    <x:row r="12" ht="39" customHeight="1">
      <x:c r="A12" s="24" t="str">
        <x:v>射击</x:v>
      </x:c>
      <x:c r="B12" s="24" t="str">
        <x:v>反冲速度</x:v>
      </x:c>
      <x:c r="C12" s="24" t="n">
        <x:v>1100</x:v>
      </x:c>
      <x:c r="D12" s="24" t="str">
        <x:v>世界单位/秒</x:v>
      </x:c>
      <x:c r="E12" s="24" t="str">
        <x:v>https://github.com/zhipijun1996/gunman-rush/blob/26e7f2a4459623f35613a857da8a75e89daa3e62/config/player_tuning.json</x:v>
      </x:c>
      <x:c r="F12" s="24" t="str">
        <x:v>已实装</x:v>
      </x:c>
      <x:c r="G12" s="24" t="str">
        <x:v>空中154单位理想位移</x:v>
      </x:c>
    </x:row>
    <x:row r="13" ht="39" customHeight="1">
      <x:c r="A13" s="24" t="str">
        <x:v>射击</x:v>
      </x:c>
      <x:c r="B13" s="24" t="str">
        <x:v>反冲时长</x:v>
      </x:c>
      <x:c r="C13" s="24" t="n">
        <x:v>0.14</x:v>
      </x:c>
      <x:c r="D13" s="24" t="str">
        <x:v>秒</x:v>
      </x:c>
      <x:c r="E13" s="24" t="str">
        <x:v>https://github.com/zhipijun1996/gunman-rush/blob/26e7f2a4459623f35613a857da8a75e89daa3e62/config/player_tuning.json</x:v>
      </x:c>
      <x:c r="F13" s="24" t="str">
        <x:v>已实装</x:v>
      </x:c>
      <x:c r="G13" s="24" t="str">
        <x:v>计入实际碰撞限速</x:v>
      </x:c>
    </x:row>
    <x:row r="14" ht="39" customHeight="1">
      <x:c r="A14" s="24" t="str">
        <x:v>射击</x:v>
      </x:c>
      <x:c r="B14" s="24" t="str">
        <x:v>地面反冲倍率</x:v>
      </x:c>
      <x:c r="C14" s="24" t="n">
        <x:v>0.55</x:v>
      </x:c>
      <x:c r="D14" s="24" t="str">
        <x:v>倍</x:v>
      </x:c>
      <x:c r="E14" s="24" t="str">
        <x:v>https://github.com/zhipijun1996/gunman-rush/blob/26e7f2a4459623f35613a857da8a75e89daa3e62/config/player_tuning.json</x:v>
      </x:c>
      <x:c r="F14" s="24" t="str">
        <x:v>已实装</x:v>
      </x:c>
      <x:c r="G14" s="24" t="str">
        <x:v>地面实际位移跟随Motor</x:v>
      </x:c>
    </x:row>
    <x:row r="15" ht="39" customHeight="1">
      <x:c r="A15" s="24" t="str">
        <x:v>钩索</x:v>
      </x:c>
      <x:c r="B15" s="24" t="str">
        <x:v>有效距离</x:v>
      </x:c>
      <x:c r="C15" s="24" t="n">
        <x:v>231</x:v>
      </x:c>
      <x:c r="D15" s="24" t="str">
        <x:v>世界单位</x:v>
      </x:c>
      <x:c r="E15" s="24" t="str">
        <x:v>https://github.com/zhipijun1996/gunman-rush/blob/26e7f2a4459623f35613a857da8a75e89daa3e62/resources/player/traversal.tres</x:v>
      </x:c>
      <x:c r="F15" s="24" t="str">
        <x:v>已实装</x:v>
      </x:c>
      <x:c r="G15" s="24" t="str">
        <x:v>覆盖脚本默认460</x:v>
      </x:c>
    </x:row>
    <x:row r="16" ht="39" customHeight="1">
      <x:c r="A16" s="24" t="str">
        <x:v>时间能量</x:v>
      </x:c>
      <x:c r="B16" s="24" t="str">
        <x:v>容量</x:v>
      </x:c>
      <x:c r="C16" s="24" t="n">
        <x:v>100</x:v>
      </x:c>
      <x:c r="D16" s="24" t="str">
        <x:v>点</x:v>
      </x:c>
      <x:c r="E16" s="24" t="str">
        <x:v>https://github.com/zhipijun1996/gunman-rush/blob/26e7f2a4459623f35613a857da8a75e89daa3e62/resources/player/demo_ui_01/time_energy_v2.tres</x:v>
      </x:c>
      <x:c r="F16" s="24" t="str">
        <x:v>已实装</x:v>
      </x:c>
      <x:c r="G16" s="24" t="str">
        <x:v>只慢时消耗，不再扣射击</x:v>
      </x:c>
    </x:row>
    <x:row r="17" ht="39" customHeight="1">
      <x:c r="A17" s="24" t="str">
        <x:v>时间能量</x:v>
      </x:c>
      <x:c r="B17" s="24" t="str">
        <x:v>空中慢时消耗</x:v>
      </x:c>
      <x:c r="C17" s="24" t="n">
        <x:v>45</x:v>
      </x:c>
      <x:c r="D17" s="24" t="str">
        <x:v>点/真实秒</x:v>
      </x:c>
      <x:c r="E17" s="24" t="str">
        <x:v>https://github.com/zhipijun1996/gunman-rush/blob/26e7f2a4459623f35613a857da8a75e89daa3e62/config/player_tuning.json</x:v>
      </x:c>
      <x:c r="F17" s="24" t="str">
        <x:v>已实装</x:v>
      </x:c>
      <x:c r="G17" s="24" t="str">
        <x:v>与钩索共用AirFocus</x:v>
      </x:c>
    </x:row>
    <x:row r="18" ht="39" customHeight="1">
      <x:c r="A18" s="24" t="str">
        <x:v>时间能量</x:v>
      </x:c>
      <x:c r="B18" s="24" t="str">
        <x:v>落地自然恢复</x:v>
      </x:c>
      <x:c r="C18" s="24" t="n">
        <x:v>30</x:v>
      </x:c>
      <x:c r="D18" s="24" t="str">
        <x:v>点/真实秒</x:v>
      </x:c>
      <x:c r="E18" s="24" t="str">
        <x:v>https://github.com/zhipijun1996/gunman-rush/blob/26e7f2a4459623f35613a857da8a75e89daa3e62/config/player_tuning.json</x:v>
      </x:c>
      <x:c r="F18" s="24" t="str">
        <x:v>已实装</x:v>
      </x:c>
      <x:c r="G18" s="24" t="str">
        <x:v>空中默认不自然恢复</x:v>
      </x:c>
    </x:row>
    <x:row r="19" ht="39" customHeight="1">
      <x:c r="A19" s="24" t="str">
        <x:v>时间能量</x:v>
      </x:c>
      <x:c r="B19" s="24" t="str">
        <x:v>慢时倍率</x:v>
      </x:c>
      <x:c r="C19" s="24" t="n">
        <x:v>0.15</x:v>
      </x:c>
      <x:c r="D19" s="24" t="str">
        <x:v>倍</x:v>
      </x:c>
      <x:c r="E19" s="24" t="str">
        <x:v>https://github.com/zhipijun1996/gunman-rush/blob/26e7f2a4459623f35613a857da8a75e89daa3e62/config/player_tuning.json</x:v>
      </x:c>
      <x:c r="F19" s="24" t="str">
        <x:v>已实装</x:v>
      </x:c>
      <x:c r="G19" s="24" t="str">
        <x:v>游戏时钟/真实时钟区别</x:v>
      </x:c>
    </x:row>
    <x:row r="20" ht="39" customHeight="1">
      <x:c r="A20" s="24" t="str">
        <x:v>时间能量</x:v>
      </x:c>
      <x:c r="B20" s="24" t="str">
        <x:v>单次腾空限额</x:v>
      </x:c>
      <x:c r="C20" s="24" t="n">
        <x:v>2</x:v>
      </x:c>
      <x:c r="D20" s="24" t="str">
        <x:v>真实秒</x:v>
      </x:c>
      <x:c r="E20" s="24" t="str">
        <x:v>https://github.com/zhipijun1996/gunman-rush/blob/26e7f2a4459623f35613a857da8a75e89daa3e62/config/player_tuning.json</x:v>
      </x:c>
      <x:c r="F20" s="24" t="str">
        <x:v>已实装</x:v>
      </x:c>
      <x:c r="G20" s="24" t="str">
        <x:v>返能不能让时间上限无限</x:v>
      </x:c>
    </x:row>
    <x:row r="21" ht="39" customHeight="1">
      <x:c r="A21" s="24" t="str">
        <x:v>时间能量</x:v>
      </x:c>
      <x:c r="B21" s="24" t="str">
        <x:v>耗尽重新启用阈值</x:v>
      </x:c>
      <x:c r="C21" s="24" t="n">
        <x:v>15</x:v>
      </x:c>
      <x:c r="D21" s="24" t="str">
        <x:v>点</x:v>
      </x:c>
      <x:c r="E21" s="24" t="str">
        <x:v>https://github.com/zhipijun1996/gunman-rush/blob/26e7f2a4459623f35613a857da8a75e89daa3e62/config/player_tuning.json</x:v>
      </x:c>
      <x:c r="F21" s="24" t="str">
        <x:v>已实装</x:v>
      </x:c>
      <x:c r="G21" s="24" t="str">
        <x:v>正常接地重新武装</x:v>
      </x:c>
    </x:row>
    <x:row r="22" ht="39" customHeight="1">
      <x:c r="A22" s="24" t="str">
        <x:v>战斗能量</x:v>
      </x:c>
      <x:c r="B22" s="24" t="str">
        <x:v>基础容量</x:v>
      </x:c>
      <x:c r="C22" s="24" t="n">
        <x:v>100</x:v>
      </x:c>
      <x:c r="D22" s="24" t="str">
        <x:v>点</x:v>
      </x:c>
      <x:c r="E22" s="24" t="str">
        <x:v>https://github.com/zhipijun1996/gunman-rush/blob/26e7f2a4459623f35613a857da8a75e89daa3e62/scripts/resources/definitions/combat_energy_definition.gd</x:v>
      </x:c>
      <x:c r="F22" s="24" t="str">
        <x:v>已实装</x:v>
      </x:c>
      <x:c r="G22" s="24" t="str">
        <x:v>武器技能共享资源</x:v>
      </x:c>
    </x:row>
    <x:row r="23" ht="39" customHeight="1">
      <x:c r="A23" s="24" t="str">
        <x:v>战斗能量</x:v>
      </x:c>
      <x:c r="B23" s="24" t="str">
        <x:v>每目标已提交伤害收益</x:v>
      </x:c>
      <x:c r="C23" s="24" t="n">
        <x:v>7</x:v>
      </x:c>
      <x:c r="D23" s="24" t="str">
        <x:v>点</x:v>
      </x:c>
      <x:c r="E23" s="24" t="str">
        <x:v>https://github.com/zhipijun1996/gunman-rush/blob/26e7f2a4459623f35613a857da8a75e89daa3e62/scripts/resources/definitions/combat_energy_definition.gd</x:v>
      </x:c>
      <x:c r="F23" s="24" t="str">
        <x:v>已实装</x:v>
      </x:c>
      <x:c r="G23" s="24" t="str">
        <x:v>主动攻击/钩索；同包目标去重</x:v>
      </x:c>
    </x:row>
    <x:row r="24" ht="39" customHeight="1">
      <x:c r="A24" s="24" t="str">
        <x:v>战斗能量</x:v>
      </x:c>
      <x:c r="B24" s="24" t="str">
        <x:v>每攻击包总收益上限</x:v>
      </x:c>
      <x:c r="C24" s="24" t="n">
        <x:v>12</x:v>
      </x:c>
      <x:c r="D24" s="24" t="str">
        <x:v>点</x:v>
      </x:c>
      <x:c r="E24" s="24" t="str">
        <x:v>https://github.com/zhipijun1996/gunman-rush/blob/26e7f2a4459623f35613a857da8a75e89daa3e62/scripts/resources/definitions/combat_energy_definition.gd</x:v>
      </x:c>
      <x:c r="F24" s="24" t="str">
        <x:v>已实装</x:v>
      </x:c>
      <x:c r="G24" s="24" t="str">
        <x:v>防散弹/激光刷能</x:v>
      </x:c>
    </x:row>
    <x:row r="25" ht="39" customHeight="1">
      <x:c r="A25" s="24" t="str">
        <x:v>武器Lv3</x:v>
      </x:c>
      <x:c r="B25" s="24" t="str">
        <x:v>默认主动技能耗费</x:v>
      </x:c>
      <x:c r="C25" s="24" t="n">
        <x:v>60</x:v>
      </x:c>
      <x:c r="D25" s="24" t="str">
        <x:v>点</x:v>
      </x:c>
      <x:c r="E25" s="24" t="str">
        <x:v>https://github.com/zhipijun1996/gunman-rush/blob/26e7f2a4459623f35613a857da8a75e89daa3e62/scripts/combat/weapon_definition.gd</x:v>
      </x:c>
      <x:c r="F25" s="24" t="str">
        <x:v>已实装</x:v>
      </x:c>
      <x:c r="G25" s="24" t="str">
        <x:v>个别武器的.tres可能覆盖</x:v>
      </x:c>
    </x:row>
    <x:row r="26" ht="39" customHeight="1">
      <x:c r="A26" s="24" t="str">
        <x:v>金币</x:v>
      </x:c>
      <x:c r="B26" s="24" t="str">
        <x:v>平原地图普通拾取预算</x:v>
      </x:c>
      <x:c r="C26" s="24" t="n">
        <x:v>24</x:v>
      </x:c>
      <x:c r="D26" s="24" t="str">
        <x:v>金币/图</x:v>
      </x:c>
      <x:c r="E26" s="24" t="str">
        <x:v>https://github.com/zhipijun1996/gunman-rush/blob/26e7f2a4459623f35613a857da8a75e89daa3e62/scripts/generation/plains_region_generator.gd</x:v>
      </x:c>
      <x:c r="F26" s="24" t="str">
        <x:v>试玩实装</x:v>
      </x:c>
      <x:c r="G26" s="24" t="str">
        <x:v>地图有4宝箱，实际收入不固定</x:v>
      </x:c>
    </x:row>
    <x:row r="27" ht="39" customHeight="1">
      <x:c r="A27" s="24" t="str">
        <x:v>金币</x:v>
      </x:c>
      <x:c r="B27" s="24" t="str">
        <x:v>平原地图敌人掉落上限</x:v>
      </x:c>
      <x:c r="C27" s="24" t="n">
        <x:v>12</x:v>
      </x:c>
      <x:c r="D27" s="24" t="str">
        <x:v>金币/图</x:v>
      </x:c>
      <x:c r="E27" s="24" t="str">
        <x:v>https://github.com/zhipijun1996/gunman-rush/blob/26e7f2a4459623f35613a857da8a75e89daa3e62/scripts/generation/plains_region_generator.gd</x:v>
      </x:c>
      <x:c r="F27" s="24" t="str">
        <x:v>试玩实装</x:v>
      </x:c>
      <x:c r="G27" s="24" t="str">
        <x:v>收益以实际拾取为准</x:v>
      </x:c>
    </x:row>
    <x:row r="28" ht="39" customHeight="1">
      <x:c r="A28" s="24" t="str">
        <x:v>金币</x:v>
      </x:c>
      <x:c r="B28" s="24" t="str">
        <x:v>现有商店价格示例</x:v>
      </x:c>
      <x:c r="C28" s="24" t="n">
        <x:v>5</x:v>
      </x:c>
      <x:c r="D28" s="24" t="str">
        <x:v>金币</x:v>
      </x:c>
      <x:c r="E28" s="24" t="str">
        <x:v>https://github.com/zhipijun1996/gunman-rush/blob/26e7f2a4459623f35613a857da8a75e89daa3e62/scripts/generation/plains_region_generator.gd</x:v>
      </x:c>
      <x:c r="F28" s="24" t="str">
        <x:v>演示值</x:v>
      </x:c>
      <x:c r="G28" s="24" t="str">
        <x:v>不代表正式分档商店价格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5fffa265114443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54" hidden="0" customWidth="1"/>
    <x:col min="4" max="4" width="60" hidden="0" customWidth="1"/>
    <x:col min="5" max="5" width="46" hidden="0" customWidth="1"/>
    <x:col min="6" max="6" width="76" hidden="0" customWidth="1"/>
    <x:col min="7" max="7" width="52" hidden="0" customWidth="1"/>
    <x:col min="8" max="8" width="17" hidden="0" customWidth="1"/>
  </x:cols>
  <x:sheetData>
    <x:row r="1" ht="33" customHeight="1">
      <x:c r="A1" s="4" t="str">
        <x:v>失序之钟 | 开发优先级与风险板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先装备系统→通用效果事件→小规模真实道具→复杂召唤与世界冻结；P0–P3仍是策划排序</x:v>
      </x:c>
      <x:c r="B2" s="9"/>
      <x:c r="C2" s="9"/>
      <x:c r="D2" s="9"/>
      <x:c r="E2" s="9"/>
      <x:c r="F2" s="9"/>
      <x:c r="G2" s="9"/>
      <x:c r="H2" s="9"/>
    </x:row>
    <x:row r="3" ht="10" customHeight="1"/>
    <x:row r="5" ht="31" customHeight="1">
      <x:c r="A5" s="19" t="str">
        <x:v>工作包</x:v>
      </x:c>
      <x:c r="B5" s="19" t="str">
        <x:v>阶段</x:v>
      </x:c>
      <x:c r="C5" s="19" t="str">
        <x:v>涉及系统/道具</x:v>
      </x:c>
      <x:c r="D5" s="19" t="str">
        <x:v>主要交付</x:v>
      </x:c>
      <x:c r="E5" s="19" t="str">
        <x:v>门槛/依赖</x:v>
      </x:c>
      <x:c r="F5" s="19" t="str">
        <x:v>失败模式与关键测试</x:v>
      </x:c>
      <x:c r="G5" s="19" t="str">
        <x:v>范围边界</x:v>
      </x:c>
      <x:c r="H5" s="19" t="str">
        <x:v>当前状态</x:v>
      </x:c>
    </x:row>
    <x:row r="6" ht="58" customHeight="1">
      <x:c r="A6" s="24" t="str">
        <x:v>基础0</x:v>
      </x:c>
      <x:c r="B6" s="24" t="str">
        <x:v>必做前置</x:v>
      </x:c>
      <x:c r="C6" s="24" t="str">
        <x:v>背包/齿轮槽/装备</x:v>
      </x:c>
      <x:c r="D6" s="24" t="str">
        <x:v>持有≠装备；从基础数值重算；8~14槽，事务与来源撤销</x:v>
      </x:c>
      <x:c r="E6" s="24" t="str">
        <x:v>RunWallet/Reward/Shop/BuildState</x:v>
      </x:c>
      <x:c r="F6" s="24" t="str">
        <x:v>死亡、回退、装备错序、重复交易不刷道具或HP</x:v>
      </x:c>
      <x:c r="G6" s="24" t="str">
        <x:v>不预先建设万能事件总线</x:v>
      </x:c>
      <x:c r="H6" s="24" t="str">
        <x:v>未实现</x:v>
      </x:c>
    </x:row>
    <x:row r="7" ht="58" customHeight="1">
      <x:c r="A7" s="24" t="str">
        <x:v>基础1</x:v>
      </x:c>
      <x:c r="B7" s="24" t="str">
        <x:v>P0</x:v>
      </x:c>
      <x:c r="C7" s="24" t="str">
        <x:v>主攻命中、受伤、共鸣事件</x:v>
      </x:c>
      <x:c r="D7" s="24" t="str">
        <x:v>可复用的攻击包ID、合法伤害回执、每包能量上限</x:v>
      </x:c>
      <x:c r="E7" s="24" t="str">
        <x:v>weapon_damage_committed + FrameDamagePolicy</x:v>
      </x:c>
      <x:c r="F7" s="24" t="str">
        <x:v>三连枪/激光命中多段最多触发一次</x:v>
      </x:c>
      <x:c r="G7" s="24" t="str">
        <x:v>事件归属统一，派生不递归</x:v>
      </x:c>
      <x:c r="H7" s="24" t="str">
        <x:v>待规划</x:v>
      </x:c>
    </x:row>
    <x:row r="8" ht="58" customHeight="1">
      <x:c r="A8" s="24" t="str">
        <x:v>试玩首批</x:v>
      </x:c>
      <x:c r="B8" s="24" t="str">
        <x:v>P0</x:v>
      </x:c>
      <x:c r="C8" s="24" t="str">
        <x:v>薄暮枪管、疾鸣撞针、省力扳簧、回声小匣</x:v>
      </x:c>
      <x:c r="D8" s="24" t="str">
        <x:v>技能生效/卸装/三级成长/暂停UI</x:v>
      </x:c>
      <x:c r="E8" s="24" t="str">
        <x:v>装备基础系统完成</x:v>
      </x:c>
      <x:c r="F8" s="24" t="str">
        <x:v>等级重复获得无额外槽，技能移除不刷资源</x:v>
      </x:c>
      <x:c r="G8" s="24" t="str">
        <x:v>实际Godot/headless+GUI+设备待验</x:v>
      </x:c>
      <x:c r="H8" s="24" t="str">
        <x:v>待规划</x:v>
      </x:c>
    </x:row>
    <x:row r="9" ht="58" customHeight="1">
      <x:c r="A9" s="24" t="str">
        <x:v>经济联动</x:v>
      </x:c>
      <x:c r="B9" s="24" t="str">
        <x:v>P1</x:v>
      </x:c>
      <x:c r="C9" s="24" t="str">
        <x:v>拾铃磁盘、裂纹钱袋、盗贼旧誓、扩容</x:v>
      </x:c>
      <x:c r="D9" s="24" t="str">
        <x:v>金币预算、钱包幂等与商店可买决策</x:v>
      </x:c>
      <x:c r="E9" s="24" t="str">
        <x:v>两张平原Seed探索收入统计</x:v>
      </x:c>
      <x:c r="F9" s="24" t="str">
        <x:v>经济道具ROI为负时不要强行放商店卖</x:v>
      </x:c>
      <x:c r="G9" s="24" t="str">
        <x:v>按当前正式两图预算调整</x:v>
      </x:c>
      <x:c r="H9" s="24" t="str">
        <x:v>待规划</x:v>
      </x:c>
    </x:row>
    <x:row r="10" ht="58" customHeight="1">
      <x:c r="A10" s="24" t="str">
        <x:v>防御机制</x:v>
      </x:c>
      <x:c r="B10" s="24" t="str">
        <x:v>P1</x:v>
      </x:c>
      <x:c r="C10" s="24" t="str">
        <x:v>回声护幕、余鸣护甲、暮钟心契</x:v>
      </x:c>
      <x:c r="D10" s="24" t="str">
        <x:v>三秒无敌、护盾共享上限、锁定诅咒</x:v>
      </x:c>
      <x:c r="E10" s="24" t="str">
        <x:v>伤害顺序/HP事务</x:v>
      </x:c>
      <x:c r="F10" s="24" t="str">
        <x:v>无敌真实活动时间；装备锁定一次HP转换</x:v>
      </x:c>
      <x:c r="G10" s="24" t="str">
        <x:v>保持坠落/强制失败规则</x:v>
      </x:c>
      <x:c r="H10" s="24" t="str">
        <x:v>待规划</x:v>
      </x:c>
    </x:row>
    <x:row r="11" ht="58" customHeight="1">
      <x:c r="A11" s="24" t="str">
        <x:v>停时专项</x:v>
      </x:c>
      <x:c r="B11" s="24" t="str">
        <x:v>P2</x:v>
      </x:c>
      <x:c r="C11" s="24" t="str">
        <x:v>满月枪歌、迟暮钟摆</x:v>
      </x:c>
      <x:c r="D11" s="24" t="str">
        <x:v>15%慢时与0%世界暂停分流，玩家继续运动</x:v>
      </x:c>
      <x:c r="E11" s="24" t="str">
        <x:v>Godot各类时间域、UI/Boss/物理/机关</x:v>
      </x:c>
      <x:c r="F11" s="24" t="str">
        <x:v>Boss相位计时和下落机关冻结，不得仅Engine.time_scale=0</x:v>
      </x:c>
      <x:c r="G11" s="24" t="str">
        <x:v>独立专项性能与用户试玩验收</x:v>
      </x:c>
      <x:c r="H11" s="24" t="str">
        <x:v>待规划</x:v>
      </x:c>
    </x:row>
    <x:row r="12" ht="58" customHeight="1">
      <x:c r="A12" s="24" t="str">
        <x:v>武器专属</x:v>
      </x:c>
      <x:c r="B12" s="24" t="str">
        <x:v>P1–P2</x:v>
      </x:c>
      <x:c r="C12" s="24" t="str">
        <x:v>恒辉折镜、连奏梭轮、奇点余振环、扩震钟环</x:v>
      </x:c>
      <x:c r="D12" s="24" t="str">
        <x:v>按武器家族兼容，免刷稀有度候选</x:v>
      </x:c>
      <x:c r="E12" s="24" t="str">
        <x:v>15武器节点已存在</x:v>
      </x:c>
      <x:c r="F12" s="24" t="str">
        <x:v>专属道具不落到不匹配枪械；武器改变不重抽已生成offer</x:v>
      </x:c>
      <x:c r="G12" s="24" t="str">
        <x:v>保证每条分支有意义</x:v>
      </x:c>
      <x:c r="H12" s="24" t="str">
        <x:v>待规划</x:v>
      </x:c>
    </x:row>
    <x:row r="13" ht="58" customHeight="1">
      <x:c r="A13" s="24" t="str">
        <x:v>召唤专项</x:v>
      </x:c>
      <x:c r="B13" s="24" t="str">
        <x:v>P2–P3</x:v>
      </x:c>
      <x:c r="C13" s="24" t="str">
        <x:v>游钟机群、续鸣装配匣、永恒钟卫、灰铃侍钟机</x:v>
      </x:c>
      <x:c r="D13" s="24" t="str">
        <x:v>大钟卫1台、微型巡钟3台、临时机与成长机</x:v>
      </x:c>
      <x:c r="E13" s="24" t="str">
        <x:v>命中回执及NPC索敌框架</x:v>
      </x:c>
      <x:c r="F13" s="24" t="str">
        <x:v>战斗共鸣不可无限生成，手机满屏表现量控制</x:v>
      </x:c>
      <x:c r="G13" s="24" t="str">
        <x:v>统一机械钟表命名</x:v>
      </x:c>
      <x:c r="H13" s="24" t="str">
        <x:v>待规划</x:v>
      </x:c>
    </x:row>
    <x:row r="14" ht="58" customHeight="1">
      <x:c r="A14" s="24" t="str">
        <x:v>范围/连锁</x:v>
      </x:c>
      <x:c r="B14" s="24" t="str">
        <x:v>P2</x:v>
      </x:c>
      <x:c r="C14" s="24" t="str">
        <x:v>雷丝引线、千鸣钟冠、弹震继电匣</x:v>
      </x:c>
      <x:c r="D14" s="24" t="str">
        <x:v>命中与派生多层级归因</x:v>
      </x:c>
      <x:c r="E14" s="24" t="str">
        <x:v>projectile/weapon_action_runtime</x:v>
      </x:c>
      <x:c r="F14" s="24" t="str">
        <x:v>攻击包防递归，真实墙阻挡，最大目标数</x:v>
      </x:c>
      <x:c r="G14" s="24" t="str">
        <x:v>不能无限递归产生共鸣/金币</x:v>
      </x:c>
      <x:c r="H14" s="24" t="str">
        <x:v>待规划</x:v>
      </x:c>
    </x:row>
    <x:row r="15" ht="58" customHeight="1">
      <x:c r="A15" s="24" t="str">
        <x:v>主动投具</x:v>
      </x:c>
      <x:c r="B15" s="24" t="str">
        <x:v>P3</x:v>
      </x:c>
      <x:c r="C15" s="24" t="str">
        <x:v>回环飞轮、落地针雷、飞雷钟樽、钟匠裁决</x:v>
      </x:c>
      <x:c r="D15" s="24" t="str">
        <x:v>共享主动技能槽与战斗共鸣</x:v>
      </x:c>
      <x:c r="E15" s="24" t="str">
        <x:v>输入路由/装备菜单</x:v>
      </x:c>
      <x:c r="F15" s="24" t="str">
        <x:v>手柄、手机、键鼠操作无冲突；投掷模式无双态</x:v>
      </x:c>
      <x:c r="G15" s="24" t="str">
        <x:v>不抢当前武器Lv3触发动作</x:v>
      </x:c>
      <x:c r="H15" s="24" t="str">
        <x:v>待规划</x:v>
      </x:c>
    </x:row>
    <x:row r="16" ht="58" customHeight="1">
      <x:c r="A16" s="24" t="str">
        <x:v>全局验收</x:v>
      </x:c>
      <x:c r="B16" s="24" t="str">
        <x:v>各阶段</x:v>
      </x:c>
      <x:c r="C16" s="24" t="str">
        <x:v>70保留+2新增</x:v>
      </x:c>
      <x:c r="D16" s="24" t="str">
        <x:v>选择、装备、连招、商店、跨图与Boss战回放</x:v>
      </x:c>
      <x:c r="E16" s="24" t="str">
        <x:v>各专业Skills + Harness</x:v>
      </x:c>
      <x:c r="F16" s="24" t="str">
        <x:v>至少3种构筑实机、全武器兼容报告、抽样100种Seed</x:v>
      </x:c>
      <x:c r="G16" s="24" t="str">
        <x:v>不把CI通过当趣味性已通过</x:v>
      </x:c>
      <x:c r="H16" s="24" t="str">
        <x:v>待验</x:v>
      </x:c>
    </x:row>
  </x:sheetData>
  <x:mergeCells>
    <x:mergeCell ref="A1:H1"/>
    <x:mergeCell ref="A2:H2"/>
  </x:mergeCells>
  <x:dataValidations count="1">
    <x:dataValidation type="list" sqref="H6:H16">
      <x:formula1>"未实现,待规划,进行中,待验,完成"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f4d0cdb56d49dd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70" hidden="0" customWidth="1"/>
    <x:col min="3" max="3" width="31" hidden="0" customWidth="1"/>
    <x:col min="4" max="4" width="70" hidden="0" customWidth="1"/>
    <x:col min="5" max="5" width="43" hidden="0" customWidth="1"/>
    <x:col min="6" max="6" width="29" hidden="0" customWidth="1"/>
  </x:cols>
  <x:sheetData>
    <x:row r="1" ht="33" customHeight="1">
      <x:c r="A1" s="4" t="str">
        <x:v>失序之钟 | 使用说明与数值口径</x:v>
      </x:c>
      <x:c r="B1" s="4"/>
      <x:c r="C1" s="4"/>
      <x:c r="D1" s="4"/>
      <x:c r="E1" s="4"/>
      <x:c r="F1" s="4"/>
    </x:row>
    <x:row r="2" ht="25" customHeight="1">
      <x:c r="A2" s="9" t="str">
        <x:v>本文件属于策划修改建议，尚未自动替换Godot资源；请将机制决定与建议数值明确分开，试玩后再锁定</x:v>
      </x:c>
      <x:c r="B2" s="9"/>
      <x:c r="C2" s="9"/>
      <x:c r="D2" s="9"/>
      <x:c r="E2" s="9"/>
      <x:c r="F2" s="9"/>
    </x:row>
    <x:row r="3" ht="10" customHeight="1"/>
    <x:row r="5" ht="31" customHeight="1">
      <x:c r="A5" s="19" t="str">
        <x:v>主题</x:v>
      </x:c>
      <x:c r="B5" s="19" t="str">
        <x:v>当前规范</x:v>
      </x:c>
      <x:c r="C5" s="19" t="str">
        <x:v>编辑位置</x:v>
      </x:c>
      <x:c r="D5" s="19" t="str">
        <x:v>不能混淆的概念</x:v>
      </x:c>
      <x:c r="E5" s="19" t="str">
        <x:v>验收责任</x:v>
      </x:c>
      <x:c r="F5" s="19" t="str">
        <x:v>来源/标记</x:v>
      </x:c>
    </x:row>
    <x:row r="6" ht="53" customHeight="1">
      <x:c r="A6" s="24" t="str">
        <x:v>正式池</x:v>
      </x:c>
      <x:c r="B6" s="24" t="str">
        <x:v>91件原候选：70有效、21删除，另新增2件；可用池72件</x:v>
      </x:c>
      <x:c r="C6" s="24" t="str">
        <x:v>01有效道具</x:v>
      </x:c>
      <x:c r="D6" s="24" t="str">
        <x:v>删除项不能进入正式奖励、商店、成长或联动池</x:v>
      </x:c>
      <x:c r="E6" s="24" t="str">
        <x:v>内容检查</x:v>
      </x:c>
      <x:c r="F6" s="24" t="str">
        <x:v>用户第1~9批反馈</x:v>
      </x:c>
    </x:row>
    <x:row r="7" ht="53" customHeight="1">
      <x:c r="A7" s="24" t="str">
        <x:v>全历史</x:v>
      </x:c>
      <x:c r="B7" s="24" t="str">
        <x:v>原始91件完整评审记录，不丢编号；新增N01/N02保留独立编号</x:v>
      </x:c>
      <x:c r="C7" s="24" t="str">
        <x:v>02评审全记录</x:v>
      </x:c>
      <x:c r="D7" s="24" t="str">
        <x:v>评审序号≠代码Stable ID</x:v>
      </x:c>
      <x:c r="E7" s="24" t="str">
        <x:v>用户复核</x:v>
      </x:c>
      <x:c r="F7" s="24" t="str">
        <x:v>原V4 Excel + 用户反馈</x:v>
      </x:c>
    </x:row>
    <x:row r="8" ht="53" customHeight="1">
      <x:c r="A8" s="24" t="str">
        <x:v>参数调整</x:v>
      </x:c>
      <x:c r="B8" s="24" t="str">
        <x:v>每行独立参数，按Lv拆分后可排序；以H列建议值为后续人工编辑入口</x:v>
      </x:c>
      <x:c r="C8" s="24" t="str">
        <x:v>03数值参数 H列</x:v>
      </x:c>
      <x:c r="D8" s="24" t="str">
        <x:v>03更新不自动同步01的参数JSON，生成配置前须重建快照</x:v>
      </x:c>
      <x:c r="E8" s="24" t="str">
        <x:v>Codex数据同步时一致性校验</x:v>
      </x:c>
      <x:c r="F8" s="24" t="str">
        <x:v>V4与V5分列</x:v>
      </x:c>
    </x:row>
    <x:row r="9" ht="53" customHeight="1">
      <x:c r="A9" s="24" t="str">
        <x:v>成长机制</x:v>
      </x:c>
      <x:c r="B9" s="24" t="str">
        <x:v>只有明确批准可升级的道具才升Lv；同名重复获得Lv1→2→3</x:v>
      </x:c>
      <x:c r="C9" s="24" t="str">
        <x:v>04三级成长</x:v>
      </x:c>
      <x:c r="D9" s="24" t="str">
        <x:v>不额外增加齿轮负荷、等级直接取对应值不连续相乘</x:v>
      </x:c>
      <x:c r="E9" s="24" t="str">
        <x:v>系统测试</x:v>
      </x:c>
      <x:c r="F9" s="24" t="str">
        <x:v>已确认的成长机制</x:v>
      </x:c>
    </x:row>
    <x:row r="10" ht="53" customHeight="1">
      <x:c r="A10" s="24" t="str">
        <x:v>经济模型</x:v>
      </x:c>
      <x:c r="B10" s="24" t="str">
        <x:v>24普通金币/图、敌掉封顶12/图、4箱/图；实际收入依赖路线</x:v>
      </x:c>
      <x:c r="C10" s="24" t="str">
        <x:v>06经济模型</x:v>
      </x:c>
      <x:c r="D10" s="24" t="str">
        <x:v>当前商店5金币是历史演示报价，不能当正式价</x:v>
      </x:c>
      <x:c r="E10" s="24" t="str">
        <x:v>真实Seed收据、通关录像</x:v>
      </x:c>
      <x:c r="F10" s="24" t="str">
        <x:v>main 26e7f2a</x:v>
      </x:c>
    </x:row>
    <x:row r="11" ht="53" customHeight="1">
      <x:c r="A11" s="24" t="str">
        <x:v>货币区分</x:v>
      </x:c>
      <x:c r="B11" s="24" t="str">
        <x:v>金币RunWallet属于本局，永久音符单独账户</x:v>
      </x:c>
      <x:c r="C11" s="24" t="str">
        <x:v>06经济模型</x:v>
      </x:c>
      <x:c r="D11" s="24" t="str">
        <x:v>音符不可无授权兑换局内金币</x:v>
      </x:c>
      <x:c r="E11" s="24" t="str">
        <x:v>交易账本校验</x:v>
      </x:c>
      <x:c r="F11" s="24" t="str">
        <x:v>Reward/Shop/Meta</x:v>
      </x:c>
    </x:row>
    <x:row r="12" ht="53" customHeight="1">
      <x:c r="A12" s="24" t="str">
        <x:v>时间能量</x:v>
      </x:c>
      <x:c r="B12" s="24" t="str">
        <x:v>空中枪械/钩索慢时耗能45/真实秒；射击不扣时间能量</x:v>
      </x:c>
      <x:c r="C12" s="24" t="str">
        <x:v>07实装数值</x:v>
      </x:c>
      <x:c r="D12" s="24" t="str">
        <x:v>普通15%时间流速，满月枪歌满血0%；玩家仍运动</x:v>
      </x:c>
      <x:c r="E12" s="24" t="str">
        <x:v>定点真实测量、Boss计时</x:v>
      </x:c>
      <x:c r="F12" s="24" t="str">
        <x:v>UI R3正式规则</x:v>
      </x:c>
    </x:row>
    <x:row r="13" ht="53" customHeight="1">
      <x:c r="A13" s="24" t="str">
        <x:v>战斗共鸣</x:v>
      </x:c>
      <x:c r="B13" s="24" t="str">
        <x:v>上限100，合法命中每目标7点，每包最多12点；通常Lv3成本60</x:v>
      </x:c>
      <x:c r="C13" s="24" t="str">
        <x:v>07实装数值</x:v>
      </x:c>
      <x:c r="D13" s="24" t="str">
        <x:v>主动技能二次伤害不自充回能</x:v>
      </x:c>
      <x:c r="E13" s="24" t="str">
        <x:v>攻击包重复证明</x:v>
      </x:c>
      <x:c r="F13" s="24" t="str">
        <x:v>CombatEnergyState</x:v>
      </x:c>
    </x:row>
    <x:row r="14" ht="53" customHeight="1">
      <x:c r="A14" s="24" t="str">
        <x:v>生命与盾</x:v>
      </x:c>
      <x:c r="B14" s="24" t="str">
        <x:v>基础HP5，装备HP上限不自动治疗；盾共享最多3</x:v>
      </x:c>
      <x:c r="C14" s="24" t="str">
        <x:v>01有效道具</x:v>
      </x:c>
      <x:c r="D14" s="24" t="str">
        <x:v>暮钟心契首次按比换血、装备锁住，本局无法卸</x:v>
      </x:c>
      <x:c r="E14" s="24" t="str">
        <x:v>先伤害后触发，死亡优先</x:v>
      </x:c>
      <x:c r="F14" s="24" t="str">
        <x:v>用户确认/设计新增</x:v>
      </x:c>
    </x:row>
    <x:row r="15" ht="53" customHeight="1">
      <x:c r="A15" s="24" t="str">
        <x:v>机械造型</x:v>
      </x:c>
      <x:c r="B15" s="24" t="str">
        <x:v>召唤伙伴统称微型巡钟无人机/大型钟卫/成长型侍钟机</x:v>
      </x:c>
      <x:c r="C15" s="24" t="str">
        <x:v>01有效道具</x:v>
      </x:c>
      <x:c r="D15" s="24" t="str">
        <x:v>不使用昆虫意象，统一钟表机械美术</x:v>
      </x:c>
      <x:c r="E15" s="24" t="str">
        <x:v>真实实机统一风格</x:v>
      </x:c>
      <x:c r="F15" s="24" t="str">
        <x:v>用户世界观限制</x:v>
      </x:c>
    </x:row>
    <x:row r="16" ht="53" customHeight="1">
      <x:c r="A16" s="24" t="str">
        <x:v>联动</x:v>
      </x:c>
      <x:c r="B16" s="24" t="str">
        <x:v>16组旧联动已按删除与新机制审核；9可继续、3需重做、4失效</x:v>
      </x:c>
      <x:c r="C16" s="24" t="str">
        <x:v>05联动审计</x:v>
      </x:c>
      <x:c r="D16" s="24" t="str">
        <x:v>联动有效≠已经实装</x:v>
      </x:c>
      <x:c r="E16" s="24" t="str">
        <x:v>配方自动校验</x:v>
      </x:c>
      <x:c r="F16" s="24" t="str">
        <x:v>旧V4 16组</x:v>
      </x:c>
    </x:row>
    <x:row r="17" ht="53" customHeight="1">
      <x:c r="A17" s="24" t="str">
        <x:v>价格</x:v>
      </x:c>
      <x:c r="B17" s="24" t="str">
        <x:v>V5建议价按两图收入数量级调整，所有价格仍属试玩候选</x:v>
      </x:c>
      <x:c r="C17" s="24" t="str">
        <x:v>01有效道具 I列</x:v>
      </x:c>
      <x:c r="D17" s="24" t="str">
        <x:v>‘金色’不必负荷大；负荷与稀有度分离</x:v>
      </x:c>
      <x:c r="E17" s="24" t="str">
        <x:v>商店购买率/出价调研</x:v>
      </x:c>
      <x:c r="F17" s="24" t="str">
        <x:v>V5平衡建议</x:v>
      </x:c>
    </x:row>
    <x:row r="18" ht="53" customHeight="1">
      <x:c r="A18" s="24" t="str">
        <x:v>81号</x:v>
      </x:c>
      <x:c r="B18" s="24" t="str">
        <x:v>裂纹强击栓建议+50%主攻，累计3次HP伤害破损，维修26金币</x:v>
      </x:c>
      <x:c r="C18" s="24" t="str">
        <x:v>01/03</x:v>
      </x:c>
      <x:c r="D18" s="24" t="str">
        <x:v>这是本轮平衡建议，+50%尚未单独经过用户确认</x:v>
      </x:c>
      <x:c r="E18" s="24" t="str">
        <x:v>实机平衡判定</x:v>
      </x:c>
      <x:c r="F18" s="24" t="str">
        <x:v>用户已确认三次损毁及加强</x:v>
      </x:c>
    </x:row>
    <x:row r="19" ht="53" customHeight="1">
      <x:c r="A19" s="24" t="str">
        <x:v>86号</x:v>
      </x:c>
      <x:c r="B19" s="24" t="str">
        <x:v>取消双态，当前推荐‘投掷电弧雷樽’，不具固定布置模式</x:v>
      </x:c>
      <x:c r="C19" s="24" t="str">
        <x:v>01/03</x:v>
      </x:c>
      <x:c r="D19" s="24" t="str">
        <x:v>链伤作为区别于针雷的建议技能效果，需用户试玩</x:v>
      </x:c>
      <x:c r="E19" s="24" t="str">
        <x:v>用户确认/技能测试</x:v>
      </x:c>
      <x:c r="F19" s="24" t="str">
        <x:v>用户明确取消双态</x:v>
      </x:c>
    </x:row>
    <x:row r="20" ht="53" customHeight="1">
      <x:c r="A20" s="24" t="str">
        <x:v>审核维度</x:v>
      </x:c>
      <x:c r="B20" s="24" t="str">
        <x:v>性价比结论受单图敌人数量、机动压力、实际攻击包与操作设备影响</x:v>
      </x:c>
      <x:c r="C20" s="24" t="str">
        <x:v>01有效道具 Q列</x:v>
      </x:c>
      <x:c r="D20" s="24" t="str">
        <x:v>不能把理论上限当玩家可获得平均收入</x:v>
      </x:c>
      <x:c r="E20" s="24" t="str">
        <x:v>定量回放+主观评价</x:v>
      </x:c>
      <x:c r="F20" s="24" t="str">
        <x:v>策划建议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b6ea6abbaa946fd"/>
  </x:tableParts>
</x:worksheet>
</file>